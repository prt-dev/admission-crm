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17520" windowHeight="12480" activeTab="1"/>
  </bookViews>
  <sheets>
    <sheet name="Sheet1" sheetId="1" r:id="rId1"/>
    <sheet name="Sheet2" sheetId="2" r:id="rId2"/>
  </sheets>
  <definedNames>
    <definedName name="_xlnm.Print_Area" localSheetId="0">Sheet1!$A$1:$X$118</definedName>
    <definedName name="_xlnm.Print_Area" localSheetId="1">Sheet2!$A$1:$W$117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13" i="2" l="1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A56" i="2"/>
  <c r="A57" i="2" s="1"/>
  <c r="A58" i="2" s="1"/>
  <c r="A59" i="2" s="1"/>
  <c r="A60" i="2" s="1"/>
  <c r="A48" i="2" s="1"/>
  <c r="A49" i="2" s="1"/>
  <c r="A50" i="2" s="1"/>
  <c r="A43" i="2"/>
  <c r="A44" i="2" s="1"/>
  <c r="A45" i="2" s="1"/>
  <c r="A46" i="2" s="1"/>
  <c r="A47" i="2" s="1"/>
  <c r="A51" i="2" s="1"/>
  <c r="A52" i="2" s="1"/>
  <c r="A53" i="2" s="1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W7" i="2"/>
  <c r="W116" i="2" s="1"/>
  <c r="V7" i="2"/>
  <c r="U7" i="2"/>
  <c r="T7" i="2"/>
  <c r="S7" i="2"/>
  <c r="R7" i="2"/>
  <c r="Q7" i="2"/>
  <c r="P7" i="2"/>
  <c r="O7" i="2"/>
  <c r="O116" i="2" s="1"/>
  <c r="N7" i="2"/>
  <c r="M7" i="2"/>
  <c r="L7" i="2"/>
  <c r="K7" i="2"/>
  <c r="J7" i="2"/>
  <c r="I7" i="2"/>
  <c r="H7" i="2"/>
  <c r="G7" i="2"/>
  <c r="G116" i="2" s="1"/>
  <c r="F7" i="2"/>
  <c r="E7" i="2"/>
  <c r="D7" i="2"/>
  <c r="C7" i="2"/>
  <c r="U114" i="1"/>
  <c r="V114" i="1"/>
  <c r="W114" i="1"/>
  <c r="U102" i="1"/>
  <c r="V102" i="1"/>
  <c r="W102" i="1"/>
  <c r="U90" i="1"/>
  <c r="V90" i="1"/>
  <c r="W90" i="1"/>
  <c r="U80" i="1"/>
  <c r="V80" i="1"/>
  <c r="W80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C61" i="1"/>
  <c r="U40" i="1"/>
  <c r="V40" i="1"/>
  <c r="W40" i="1"/>
  <c r="U7" i="1"/>
  <c r="V7" i="1"/>
  <c r="W7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C8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C40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C114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C102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C90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C7" i="1"/>
  <c r="A56" i="1"/>
  <c r="A57" i="1" s="1"/>
  <c r="A58" i="1" s="1"/>
  <c r="A59" i="1" s="1"/>
  <c r="A60" i="1" s="1"/>
  <c r="A48" i="1" s="1"/>
  <c r="A49" i="1" s="1"/>
  <c r="A50" i="1" s="1"/>
  <c r="A43" i="1"/>
  <c r="A44" i="1" s="1"/>
  <c r="A45" i="1" s="1"/>
  <c r="A46" i="1" s="1"/>
  <c r="A47" i="1" s="1"/>
  <c r="A51" i="1" s="1"/>
  <c r="A52" i="1" s="1"/>
  <c r="A53" i="1" s="1"/>
  <c r="F116" i="2" l="1"/>
  <c r="L116" i="2"/>
  <c r="R116" i="2"/>
  <c r="T116" i="2"/>
  <c r="V116" i="2"/>
  <c r="P116" i="2"/>
  <c r="O117" i="2" s="1"/>
  <c r="Q117" i="2" s="1"/>
  <c r="K116" i="2"/>
  <c r="M116" i="2"/>
  <c r="Q116" i="2"/>
  <c r="S116" i="2"/>
  <c r="R117" i="2" s="1"/>
  <c r="T117" i="2" s="1"/>
  <c r="N116" i="2"/>
  <c r="J116" i="2"/>
  <c r="H116" i="2"/>
  <c r="F117" i="2" s="1"/>
  <c r="H117" i="2" s="1"/>
  <c r="I116" i="2"/>
  <c r="U116" i="2"/>
  <c r="W117" i="1"/>
  <c r="V117" i="1"/>
  <c r="U117" i="1"/>
  <c r="S117" i="1"/>
  <c r="K117" i="1"/>
  <c r="P117" i="1"/>
  <c r="H117" i="1"/>
  <c r="I117" i="1"/>
  <c r="O117" i="1"/>
  <c r="G117" i="1"/>
  <c r="Q117" i="1"/>
  <c r="N117" i="1"/>
  <c r="F117" i="1"/>
  <c r="M117" i="1"/>
  <c r="T117" i="1"/>
  <c r="L117" i="1"/>
  <c r="R117" i="1"/>
  <c r="J117" i="1"/>
  <c r="U117" i="2" l="1"/>
  <c r="W117" i="2" s="1"/>
  <c r="L117" i="2"/>
  <c r="N117" i="2" s="1"/>
  <c r="I117" i="2"/>
  <c r="K117" i="2" s="1"/>
  <c r="U118" i="1"/>
  <c r="W118" i="1" s="1"/>
  <c r="F118" i="1"/>
  <c r="H118" i="1" s="1"/>
  <c r="L118" i="1"/>
  <c r="N118" i="1" s="1"/>
  <c r="R118" i="1"/>
  <c r="T118" i="1" s="1"/>
  <c r="O118" i="1"/>
  <c r="Q118" i="1" s="1"/>
  <c r="I118" i="1"/>
  <c r="K118" i="1" s="1"/>
</calcChain>
</file>

<file path=xl/sharedStrings.xml><?xml version="1.0" encoding="utf-8"?>
<sst xmlns="http://schemas.openxmlformats.org/spreadsheetml/2006/main" count="463" uniqueCount="182">
  <si>
    <t>S.N.</t>
  </si>
  <si>
    <t>Duration in Hrs.</t>
  </si>
  <si>
    <t>Theory – T, Practical – P, On Site- O</t>
  </si>
  <si>
    <t>Lift Operator</t>
  </si>
  <si>
    <t>NI Tech.</t>
  </si>
  <si>
    <t>NI Engg.</t>
  </si>
  <si>
    <t>EI Tech.</t>
  </si>
  <si>
    <t>Ei Engg.</t>
  </si>
  <si>
    <t>T</t>
  </si>
  <si>
    <t>P</t>
  </si>
  <si>
    <t>O</t>
  </si>
  <si>
    <t>OVERVIEW OF NLETA SKILL INDIA MISSION</t>
  </si>
  <si>
    <t>OVERVIEW OF ELEVATOR INDUSTRY</t>
  </si>
  <si>
    <t>SAFETY TRAINING</t>
  </si>
  <si>
    <t>General Safety</t>
  </si>
  <si>
    <t>First Aid Training</t>
  </si>
  <si>
    <t>Elevator/ Lift Safety Guidelines</t>
  </si>
  <si>
    <t>Escalator/ Travelator Safety Guidelines</t>
  </si>
  <si>
    <t>Fundamentals for NI Mechanical</t>
  </si>
  <si>
    <t>Fundamentals for NI Electrical</t>
  </si>
  <si>
    <t>TRAINING FOR EXISTING INSTALLATIONS (EI)</t>
  </si>
  <si>
    <t>Fundamentals for EI Mechanical</t>
  </si>
  <si>
    <t>Fundamentals for EI Electrical</t>
  </si>
  <si>
    <t>3.1.1</t>
  </si>
  <si>
    <t>Signages and Warnings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</si>
  <si>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</si>
  <si>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</si>
  <si>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</si>
  <si>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</si>
  <si>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</si>
  <si>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</si>
  <si>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</si>
  <si>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</si>
  <si>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3.1.10</t>
  </si>
  <si>
    <t>3.1.11</t>
  </si>
  <si>
    <t>Equipments, Tools &amp; Tackels</t>
  </si>
  <si>
    <t>Personal Protective Equipments (PPE)</t>
  </si>
  <si>
    <t>Handling of Materials (Manual &amp; Mechanical)</t>
  </si>
  <si>
    <t>Barriers against Fall protection</t>
  </si>
  <si>
    <t>Scaffolding working</t>
  </si>
  <si>
    <t>Electrical Equipments working</t>
  </si>
  <si>
    <t>Proper use of jumpers</t>
  </si>
  <si>
    <t>Working with chemicals and paint</t>
  </si>
  <si>
    <t>Tool Box Talk (TBT)</t>
  </si>
  <si>
    <t>3.2.1</t>
  </si>
  <si>
    <t>3.2.2</t>
  </si>
  <si>
    <t>3.2.3</t>
  </si>
  <si>
    <t>3.2.4</t>
  </si>
  <si>
    <t>3.2.5</t>
  </si>
  <si>
    <t>3.2.6</t>
  </si>
  <si>
    <t>First Aid Kit</t>
  </si>
  <si>
    <t>Hazard Removal</t>
  </si>
  <si>
    <t>Identification of Injuries</t>
  </si>
  <si>
    <t>Accident Reporting</t>
  </si>
  <si>
    <t>Bandage and Airway</t>
  </si>
  <si>
    <t>CPR Procedure</t>
  </si>
  <si>
    <t>3.3.1</t>
  </si>
  <si>
    <t>3.3.2</t>
  </si>
  <si>
    <t>3.3.3</t>
  </si>
  <si>
    <t>3.3.4</t>
  </si>
  <si>
    <t>3.3.5</t>
  </si>
  <si>
    <t>3.3.6</t>
  </si>
  <si>
    <t>3.3.7</t>
  </si>
  <si>
    <t>Machine room Safety</t>
  </si>
  <si>
    <t>Shaft General Safety</t>
  </si>
  <si>
    <t>Working on Safety Planks</t>
  </si>
  <si>
    <t>Cartop entry &amp; working Safety</t>
  </si>
  <si>
    <t xml:space="preserve">Pit entry &amp; working Safety </t>
  </si>
  <si>
    <t>Maintenance working Safety</t>
  </si>
  <si>
    <t>Risk Management and analysis</t>
  </si>
  <si>
    <t>3.4.1</t>
  </si>
  <si>
    <t>3.4.2</t>
  </si>
  <si>
    <t>3.4.3</t>
  </si>
  <si>
    <t>BS-EN-5655, Part 10</t>
  </si>
  <si>
    <t>IS 14665, Part-2: Sec1, Sec2.</t>
  </si>
  <si>
    <t>IS 14665 Part-3: Sec1. Sec2.</t>
  </si>
  <si>
    <t xml:space="preserve">IS 14665 Part-4: Sec1 to 9 </t>
  </si>
  <si>
    <t>IS 14665 Part-5.</t>
  </si>
  <si>
    <t xml:space="preserve">IS 14665, Part-1, </t>
  </si>
  <si>
    <t>BS-EN-81, Part1.</t>
  </si>
  <si>
    <t>BS-EN-81-71.</t>
  </si>
  <si>
    <t>EN-81-28:2018</t>
  </si>
  <si>
    <t>IS-15330</t>
  </si>
  <si>
    <t>IS 15785</t>
  </si>
  <si>
    <t>IS 8216</t>
  </si>
  <si>
    <t>IS 7465</t>
  </si>
  <si>
    <t>BS-EN-12385-5</t>
  </si>
  <si>
    <t>BS-EN-61000:6:1</t>
  </si>
  <si>
    <t>BS-EN-61000:6:3</t>
  </si>
  <si>
    <t>BS-EN-12015</t>
  </si>
  <si>
    <t>BS-EN-1461</t>
  </si>
  <si>
    <t>IEC60227:6</t>
  </si>
  <si>
    <t>Reading of General Arrangement Drawing (GAD)</t>
  </si>
  <si>
    <t>5.1.1</t>
  </si>
  <si>
    <t>5.1.2</t>
  </si>
  <si>
    <t>5.1.3</t>
  </si>
  <si>
    <t>5.1.4</t>
  </si>
  <si>
    <t>5.1.5</t>
  </si>
  <si>
    <t>5.1.6</t>
  </si>
  <si>
    <t>5.1.7</t>
  </si>
  <si>
    <t>5.1.8</t>
  </si>
  <si>
    <t>5.1.9</t>
  </si>
  <si>
    <t>5.1.10</t>
  </si>
  <si>
    <t>5.1.11</t>
  </si>
  <si>
    <t>5.1.12</t>
  </si>
  <si>
    <t>5.1.13</t>
  </si>
  <si>
    <t>5.1.14</t>
  </si>
  <si>
    <t>5.1.15</t>
  </si>
  <si>
    <t>5.1.16</t>
  </si>
  <si>
    <t>Basics of Installation Shaft Survey</t>
  </si>
  <si>
    <t>Plumbing concepts</t>
  </si>
  <si>
    <t>Reading of Horizontal Projections of Installation shaft</t>
  </si>
  <si>
    <t>Reading of Vertical Projections of Installation Shaft</t>
  </si>
  <si>
    <t>Guiderail Installation Basics</t>
  </si>
  <si>
    <t>Landing Doors Installation Basics</t>
  </si>
  <si>
    <t>Drilling Basic Concepts</t>
  </si>
  <si>
    <t>Torqueing and fixation of studs/ Fasteners</t>
  </si>
  <si>
    <t>Guide Rail Joint Process</t>
  </si>
  <si>
    <t>Guiderail Alignment Basics</t>
  </si>
  <si>
    <t>Quality Inspection(s)</t>
  </si>
  <si>
    <t>Roping Basics</t>
  </si>
  <si>
    <t>Parts Assembly of other parts</t>
  </si>
  <si>
    <t>Over Speed Governor and Safety Gear Operation</t>
  </si>
  <si>
    <t>Operating Logic fundamentals</t>
  </si>
  <si>
    <t>5.2.1</t>
  </si>
  <si>
    <t>5.2.4</t>
  </si>
  <si>
    <t>5.2.8</t>
  </si>
  <si>
    <t>5.2.2</t>
  </si>
  <si>
    <t>5.2.3</t>
  </si>
  <si>
    <t>5.2.5</t>
  </si>
  <si>
    <t>5.2.6</t>
  </si>
  <si>
    <t>5.2.7</t>
  </si>
  <si>
    <t>Reading Electrical Drawings</t>
  </si>
  <si>
    <t xml:space="preserve">Symbols and Abbreviations </t>
  </si>
  <si>
    <t>Connections</t>
  </si>
  <si>
    <t>Parameters Settings and Programing</t>
  </si>
  <si>
    <t>Auto Rescue Operation</t>
  </si>
  <si>
    <t>Balancing &amp; Load Testing Procedure</t>
  </si>
  <si>
    <t>6.1.1</t>
  </si>
  <si>
    <t>6.1.2</t>
  </si>
  <si>
    <t>6.1.3</t>
  </si>
  <si>
    <t>6.1.4</t>
  </si>
  <si>
    <t>6.1.5</t>
  </si>
  <si>
    <t>6.1.6</t>
  </si>
  <si>
    <t>6.1.7</t>
  </si>
  <si>
    <t>6.1.8</t>
  </si>
  <si>
    <t>6.1.9</t>
  </si>
  <si>
    <t>Job Site Preparation</t>
  </si>
  <si>
    <t>Reporting for Risk Analysis</t>
  </si>
  <si>
    <t>Access/ Entry Control</t>
  </si>
  <si>
    <t>Fault Analysis (Mechanical/Electrical)</t>
  </si>
  <si>
    <t>Tool Assessment</t>
  </si>
  <si>
    <t>Basics of Preventive Maintenance</t>
  </si>
  <si>
    <t>Basics of Condition Based Maintenance (CBM)</t>
  </si>
  <si>
    <t>Safety Testing</t>
  </si>
  <si>
    <t>Safe use of jumpers</t>
  </si>
  <si>
    <t>Wire tracing and ferrules</t>
  </si>
  <si>
    <t>Emergency Rescue Process</t>
  </si>
  <si>
    <t>Auto Attendant Mode</t>
  </si>
  <si>
    <t>OVERVIEW OF PREVAILING CODES AND STANADRDS</t>
  </si>
  <si>
    <t>Total Hrs. For Training</t>
  </si>
  <si>
    <t>SUBJETS &amp; TOPICS</t>
  </si>
  <si>
    <t>TRAINING FOR NEW INSTALLATIONS (NI)</t>
  </si>
  <si>
    <t>6.2.1</t>
  </si>
  <si>
    <t>6.2.2</t>
  </si>
  <si>
    <t>6.2.3</t>
  </si>
  <si>
    <t>6.2.4</t>
  </si>
  <si>
    <t>6.2.5</t>
  </si>
  <si>
    <t>6.2.6</t>
  </si>
  <si>
    <t>6.2.7</t>
  </si>
  <si>
    <t>6.2.8</t>
  </si>
  <si>
    <t>6.2.9</t>
  </si>
  <si>
    <t>6.2.10</t>
  </si>
  <si>
    <t>Sales Engg.</t>
  </si>
  <si>
    <t>Training Hrs. For Lift Operator</t>
  </si>
  <si>
    <t>TOTAL HRS / DAYS</t>
  </si>
  <si>
    <t>Fire protection</t>
  </si>
  <si>
    <t>Detailed Curriculam for NLETA SKILL INDIA MISSION</t>
  </si>
  <si>
    <t xml:space="preserve">    </t>
  </si>
  <si>
    <t xml:space="preserve"> </t>
  </si>
  <si>
    <t xml:space="preserve">Operating Logic fundamentals of Lift and Escalator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</si>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</sst>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11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0" borderId="1" xfId="0" applyFont="1" applyBorder="1"/>
    <xf numFmtId="1" fontId="1" fillId="2" borderId="1" xfId="0" applyNumberFormat="1" applyFont="1" applyFill="1" applyBorder="1" applyAlignment="1">
      <alignment horizontal="center" vertical="center"/>
    </xf>
    <xf numFmtId="1" fontId="1" fillId="9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1" fillId="9" borderId="1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right" vertical="center" wrapText="1"/>
    </xf>
    <xf numFmtId="0" fontId="2" fillId="8" borderId="3" xfId="0" applyFont="1" applyFill="1" applyBorder="1" applyAlignment="1">
      <alignment horizontal="right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18"/>
  <sheetViews>
    <sheetView view="pageBreakPreview" zoomScaleNormal="100" zoomScaleSheetLayoutView="100" workbookViewId="0">
      <pane ySplit="4" topLeftCell="A84" activePane="bottomLeft" state="frozen"/>
      <selection pane="bottomLeft" sqref="A1:XFD1048576"/>
    </sheetView>
  </sheetViews>
  <sheetFormatPr defaultColWidth="9.140625" defaultRowHeight="15" x14ac:dyDescent="0.25"/>
  <cols>
    <col min="1" max="1" width="6.42578125" style="11" customWidth="1"/>
    <col min="2" max="2" width="44.42578125" style="1" customWidth="1"/>
    <col min="3" max="3" width="4" style="11" bestFit="1" customWidth="1"/>
    <col min="4" max="4" width="3" style="11" bestFit="1" customWidth="1"/>
    <col min="5" max="5" width="4.140625" style="11" customWidth="1"/>
    <col min="6" max="8" width="3" style="11" bestFit="1" customWidth="1"/>
    <col min="9" max="11" width="4" style="11" bestFit="1" customWidth="1"/>
    <col min="12" max="12" width="4.28515625" style="11" customWidth="1"/>
    <col min="13" max="13" width="3.85546875" style="11" customWidth="1"/>
    <col min="14" max="14" width="4.140625" style="11" customWidth="1"/>
    <col min="15" max="15" width="4.28515625" style="11" customWidth="1"/>
    <col min="16" max="16" width="3" style="11" bestFit="1" customWidth="1"/>
    <col min="17" max="17" width="4.42578125" style="11" customWidth="1"/>
    <col min="18" max="18" width="4" style="11" customWidth="1"/>
    <col min="19" max="19" width="3.5703125" style="11" customWidth="1"/>
    <col min="20" max="20" width="4.5703125" style="11" customWidth="1"/>
    <col min="21" max="21" width="4" style="1" customWidth="1"/>
    <col min="22" max="22" width="4.42578125" style="1" customWidth="1"/>
    <col min="23" max="23" width="3.28515625" style="1" customWidth="1"/>
    <col min="24" max="16384" width="9.140625" style="1"/>
  </cols>
  <sheetData>
    <row r="1" spans="1:26" s="60" customFormat="1" ht="26.25" customHeight="1" x14ac:dyDescent="0.3">
      <c r="A1" s="68" t="s">
        <v>177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70"/>
    </row>
    <row r="2" spans="1:26" ht="44.25" customHeight="1" x14ac:dyDescent="0.25">
      <c r="A2" s="3" t="s">
        <v>0</v>
      </c>
      <c r="B2" s="3" t="s">
        <v>161</v>
      </c>
      <c r="C2" s="88" t="s">
        <v>1</v>
      </c>
      <c r="D2" s="89"/>
      <c r="E2" s="90"/>
      <c r="F2" s="117" t="s">
        <v>3</v>
      </c>
      <c r="G2" s="118"/>
      <c r="H2" s="119"/>
      <c r="I2" s="120" t="s">
        <v>4</v>
      </c>
      <c r="J2" s="121"/>
      <c r="K2" s="122"/>
      <c r="L2" s="123" t="s">
        <v>5</v>
      </c>
      <c r="M2" s="124"/>
      <c r="N2" s="125"/>
      <c r="O2" s="126" t="s">
        <v>6</v>
      </c>
      <c r="P2" s="127"/>
      <c r="Q2" s="128"/>
      <c r="R2" s="129" t="s">
        <v>7</v>
      </c>
      <c r="S2" s="130"/>
      <c r="T2" s="131"/>
      <c r="U2" s="155" t="s">
        <v>173</v>
      </c>
      <c r="V2" s="156"/>
      <c r="W2" s="157"/>
    </row>
    <row r="3" spans="1:26" ht="15.75" x14ac:dyDescent="0.25">
      <c r="A3" s="3"/>
      <c r="B3" s="111" t="s">
        <v>2</v>
      </c>
      <c r="C3" s="112"/>
      <c r="D3" s="112"/>
      <c r="E3" s="113"/>
      <c r="F3" s="15"/>
      <c r="G3" s="15"/>
      <c r="H3" s="15"/>
      <c r="I3" s="16"/>
      <c r="J3" s="16"/>
      <c r="K3" s="16"/>
      <c r="L3" s="17"/>
      <c r="M3" s="17"/>
      <c r="N3" s="17"/>
      <c r="O3" s="18"/>
      <c r="P3" s="18"/>
      <c r="Q3" s="18"/>
      <c r="R3" s="19"/>
      <c r="S3" s="19"/>
      <c r="T3" s="19"/>
    </row>
    <row r="4" spans="1:26" x14ac:dyDescent="0.25">
      <c r="A4" s="3"/>
      <c r="B4" s="3"/>
      <c r="C4" s="2" t="s">
        <v>8</v>
      </c>
      <c r="D4" s="2" t="s">
        <v>9</v>
      </c>
      <c r="E4" s="2" t="s">
        <v>10</v>
      </c>
      <c r="F4" s="2" t="s">
        <v>8</v>
      </c>
      <c r="G4" s="2" t="s">
        <v>9</v>
      </c>
      <c r="H4" s="2" t="s">
        <v>10</v>
      </c>
      <c r="I4" s="2" t="s">
        <v>8</v>
      </c>
      <c r="J4" s="2" t="s">
        <v>9</v>
      </c>
      <c r="K4" s="2" t="s">
        <v>10</v>
      </c>
      <c r="L4" s="2" t="s">
        <v>8</v>
      </c>
      <c r="M4" s="2" t="s">
        <v>9</v>
      </c>
      <c r="N4" s="2" t="s">
        <v>10</v>
      </c>
      <c r="O4" s="2" t="s">
        <v>8</v>
      </c>
      <c r="P4" s="2" t="s">
        <v>9</v>
      </c>
      <c r="Q4" s="2" t="s">
        <v>10</v>
      </c>
      <c r="R4" s="2" t="s">
        <v>8</v>
      </c>
      <c r="S4" s="2" t="s">
        <v>9</v>
      </c>
      <c r="T4" s="2" t="s">
        <v>10</v>
      </c>
      <c r="U4" s="2" t="s">
        <v>8</v>
      </c>
      <c r="V4" s="2" t="s">
        <v>9</v>
      </c>
      <c r="W4" s="2" t="s">
        <v>10</v>
      </c>
    </row>
    <row r="5" spans="1:26" ht="25.5" x14ac:dyDescent="0.25">
      <c r="A5" s="2">
        <v>1</v>
      </c>
      <c r="B5" s="3" t="s">
        <v>11</v>
      </c>
      <c r="C5" s="4">
        <v>2</v>
      </c>
      <c r="D5" s="4">
        <v>0</v>
      </c>
      <c r="E5" s="4">
        <v>0</v>
      </c>
      <c r="F5" s="5">
        <v>2</v>
      </c>
      <c r="G5" s="4">
        <v>0</v>
      </c>
      <c r="H5" s="4">
        <v>0</v>
      </c>
      <c r="I5" s="6">
        <v>2</v>
      </c>
      <c r="J5" s="4">
        <v>0</v>
      </c>
      <c r="K5" s="4">
        <v>0</v>
      </c>
      <c r="L5" s="7">
        <v>2</v>
      </c>
      <c r="M5" s="4">
        <v>0</v>
      </c>
      <c r="N5" s="4">
        <v>0</v>
      </c>
      <c r="O5" s="8">
        <v>2</v>
      </c>
      <c r="P5" s="4">
        <v>0</v>
      </c>
      <c r="Q5" s="4">
        <v>0</v>
      </c>
      <c r="R5" s="9">
        <v>2</v>
      </c>
      <c r="S5" s="4">
        <v>0</v>
      </c>
      <c r="T5" s="4">
        <v>0</v>
      </c>
      <c r="U5" s="45">
        <v>2</v>
      </c>
      <c r="V5" s="4">
        <v>0</v>
      </c>
      <c r="W5" s="4">
        <v>0</v>
      </c>
    </row>
    <row r="6" spans="1:26" ht="25.5" x14ac:dyDescent="0.25">
      <c r="A6" s="2">
        <v>2</v>
      </c>
      <c r="B6" s="3" t="s">
        <v>12</v>
      </c>
      <c r="C6" s="4">
        <v>2</v>
      </c>
      <c r="D6" s="4">
        <v>0</v>
      </c>
      <c r="E6" s="4">
        <v>0</v>
      </c>
      <c r="F6" s="5">
        <v>2</v>
      </c>
      <c r="G6" s="4">
        <v>0</v>
      </c>
      <c r="H6" s="4">
        <v>0</v>
      </c>
      <c r="I6" s="6">
        <v>2</v>
      </c>
      <c r="J6" s="4">
        <v>0</v>
      </c>
      <c r="K6" s="4">
        <v>0</v>
      </c>
      <c r="L6" s="7">
        <v>2</v>
      </c>
      <c r="M6" s="4">
        <v>0</v>
      </c>
      <c r="N6" s="4">
        <v>0</v>
      </c>
      <c r="O6" s="8">
        <v>2</v>
      </c>
      <c r="P6" s="4">
        <v>0</v>
      </c>
      <c r="Q6" s="4">
        <v>0</v>
      </c>
      <c r="R6" s="9">
        <v>2</v>
      </c>
      <c r="S6" s="4">
        <v>0</v>
      </c>
      <c r="T6" s="4">
        <v>0</v>
      </c>
      <c r="U6" s="45">
        <v>2</v>
      </c>
      <c r="V6" s="4">
        <v>0</v>
      </c>
      <c r="W6" s="4">
        <v>0</v>
      </c>
    </row>
    <row r="7" spans="1:26" s="28" customFormat="1" ht="21" customHeight="1" x14ac:dyDescent="0.25">
      <c r="A7" s="143" t="s">
        <v>160</v>
      </c>
      <c r="B7" s="144"/>
      <c r="C7" s="27">
        <f>SUM(C5:C6)</f>
        <v>4</v>
      </c>
      <c r="D7" s="27">
        <f t="shared" ref="D7:T7" si="0">SUM(D5:D6)</f>
        <v>0</v>
      </c>
      <c r="E7" s="27">
        <f t="shared" si="0"/>
        <v>0</v>
      </c>
      <c r="F7" s="29">
        <f t="shared" si="0"/>
        <v>4</v>
      </c>
      <c r="G7" s="29">
        <f t="shared" si="0"/>
        <v>0</v>
      </c>
      <c r="H7" s="29">
        <f t="shared" si="0"/>
        <v>0</v>
      </c>
      <c r="I7" s="30">
        <f t="shared" si="0"/>
        <v>4</v>
      </c>
      <c r="J7" s="30">
        <f t="shared" si="0"/>
        <v>0</v>
      </c>
      <c r="K7" s="30">
        <f t="shared" si="0"/>
        <v>0</v>
      </c>
      <c r="L7" s="31">
        <f t="shared" si="0"/>
        <v>4</v>
      </c>
      <c r="M7" s="31">
        <f t="shared" si="0"/>
        <v>0</v>
      </c>
      <c r="N7" s="31">
        <f t="shared" si="0"/>
        <v>0</v>
      </c>
      <c r="O7" s="32">
        <f t="shared" si="0"/>
        <v>4</v>
      </c>
      <c r="P7" s="32">
        <f t="shared" si="0"/>
        <v>0</v>
      </c>
      <c r="Q7" s="32">
        <f t="shared" si="0"/>
        <v>0</v>
      </c>
      <c r="R7" s="33">
        <f t="shared" si="0"/>
        <v>4</v>
      </c>
      <c r="S7" s="33">
        <f t="shared" si="0"/>
        <v>0</v>
      </c>
      <c r="T7" s="33">
        <f t="shared" si="0"/>
        <v>0</v>
      </c>
      <c r="U7" s="46">
        <f t="shared" ref="U7" si="1">SUM(U5:U6)</f>
        <v>4</v>
      </c>
      <c r="V7" s="46">
        <f t="shared" ref="V7" si="2">SUM(V5:V6)</f>
        <v>0</v>
      </c>
      <c r="W7" s="46">
        <f t="shared" ref="W7" si="3">SUM(W5:W6)</f>
        <v>0</v>
      </c>
    </row>
    <row r="8" spans="1:26" ht="19.5" customHeight="1" x14ac:dyDescent="0.25">
      <c r="A8" s="2">
        <v>3</v>
      </c>
      <c r="B8" s="132" t="s">
        <v>13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4"/>
    </row>
    <row r="9" spans="1:26" x14ac:dyDescent="0.25">
      <c r="A9" s="4">
        <v>3.1</v>
      </c>
      <c r="B9" s="10" t="s">
        <v>14</v>
      </c>
      <c r="C9" s="74">
        <v>4</v>
      </c>
      <c r="D9" s="74">
        <v>4</v>
      </c>
      <c r="E9" s="74">
        <v>8</v>
      </c>
      <c r="F9" s="102">
        <v>4</v>
      </c>
      <c r="G9" s="102">
        <v>4</v>
      </c>
      <c r="H9" s="74">
        <v>0</v>
      </c>
      <c r="I9" s="105">
        <v>4</v>
      </c>
      <c r="J9" s="105">
        <v>4</v>
      </c>
      <c r="K9" s="105">
        <v>8</v>
      </c>
      <c r="L9" s="82">
        <v>4</v>
      </c>
      <c r="M9" s="82">
        <v>4</v>
      </c>
      <c r="N9" s="82">
        <v>8</v>
      </c>
      <c r="O9" s="85">
        <v>4</v>
      </c>
      <c r="P9" s="85">
        <v>4</v>
      </c>
      <c r="Q9" s="85">
        <v>8</v>
      </c>
      <c r="R9" s="114">
        <v>4</v>
      </c>
      <c r="S9" s="114">
        <v>4</v>
      </c>
      <c r="T9" s="114">
        <v>8</v>
      </c>
      <c r="U9" s="158">
        <v>4</v>
      </c>
      <c r="V9" s="158">
        <v>4</v>
      </c>
      <c r="W9" s="158">
        <v>8</v>
      </c>
    </row>
    <row r="10" spans="1:26" x14ac:dyDescent="0.25">
      <c r="A10" s="10" t="s">
        <v>23</v>
      </c>
      <c r="B10" s="10" t="s">
        <v>24</v>
      </c>
      <c r="C10" s="76"/>
      <c r="D10" s="76"/>
      <c r="E10" s="76"/>
      <c r="F10" s="103"/>
      <c r="G10" s="103"/>
      <c r="H10" s="76"/>
      <c r="I10" s="106"/>
      <c r="J10" s="106"/>
      <c r="K10" s="106"/>
      <c r="L10" s="83"/>
      <c r="M10" s="83"/>
      <c r="N10" s="83"/>
      <c r="O10" s="86"/>
      <c r="P10" s="86"/>
      <c r="Q10" s="86"/>
      <c r="R10" s="115"/>
      <c r="S10" s="115"/>
      <c r="T10" s="115"/>
      <c r="U10" s="159"/>
      <c r="V10" s="159"/>
      <c r="W10" s="159"/>
    </row>
    <row r="11" spans="1:26" x14ac:dyDescent="0.25">
      <c r="A11" s="10" t="s">
        <v>25</v>
      </c>
      <c r="B11" s="10" t="s">
        <v>36</v>
      </c>
      <c r="C11" s="75"/>
      <c r="D11" s="75"/>
      <c r="E11" s="75"/>
      <c r="F11" s="104"/>
      <c r="G11" s="104"/>
      <c r="H11" s="75"/>
      <c r="I11" s="107"/>
      <c r="J11" s="107"/>
      <c r="K11" s="107"/>
      <c r="L11" s="84"/>
      <c r="M11" s="84"/>
      <c r="N11" s="84"/>
      <c r="O11" s="87"/>
      <c r="P11" s="87"/>
      <c r="Q11" s="87"/>
      <c r="R11" s="116"/>
      <c r="S11" s="116"/>
      <c r="T11" s="116"/>
      <c r="U11" s="160"/>
      <c r="V11" s="160"/>
      <c r="W11" s="160"/>
    </row>
    <row r="12" spans="1:26" x14ac:dyDescent="0.25">
      <c r="A12" s="10" t="s">
        <v>26</v>
      </c>
      <c r="B12" s="10" t="s">
        <v>35</v>
      </c>
      <c r="C12" s="74">
        <v>4</v>
      </c>
      <c r="D12" s="74">
        <v>4</v>
      </c>
      <c r="E12" s="74">
        <v>16</v>
      </c>
      <c r="F12" s="102">
        <v>4</v>
      </c>
      <c r="G12" s="102">
        <v>4</v>
      </c>
      <c r="H12" s="74">
        <v>0</v>
      </c>
      <c r="I12" s="105">
        <v>4</v>
      </c>
      <c r="J12" s="105">
        <v>4</v>
      </c>
      <c r="K12" s="105">
        <v>16</v>
      </c>
      <c r="L12" s="82">
        <v>4</v>
      </c>
      <c r="M12" s="82">
        <v>4</v>
      </c>
      <c r="N12" s="82">
        <v>16</v>
      </c>
      <c r="O12" s="85">
        <v>4</v>
      </c>
      <c r="P12" s="85">
        <v>4</v>
      </c>
      <c r="Q12" s="85">
        <v>16</v>
      </c>
      <c r="R12" s="114">
        <v>4</v>
      </c>
      <c r="S12" s="114">
        <v>4</v>
      </c>
      <c r="T12" s="114">
        <v>16</v>
      </c>
      <c r="U12" s="71">
        <v>0</v>
      </c>
      <c r="V12" s="71">
        <v>0</v>
      </c>
      <c r="W12" s="71">
        <v>0</v>
      </c>
    </row>
    <row r="13" spans="1:26" x14ac:dyDescent="0.25">
      <c r="A13" s="10" t="s">
        <v>27</v>
      </c>
      <c r="B13" s="1" t="s">
        <v>176</v>
      </c>
      <c r="C13" s="76"/>
      <c r="D13" s="76"/>
      <c r="E13" s="76"/>
      <c r="F13" s="103"/>
      <c r="G13" s="103"/>
      <c r="H13" s="76"/>
      <c r="I13" s="106"/>
      <c r="J13" s="106"/>
      <c r="K13" s="106"/>
      <c r="L13" s="83"/>
      <c r="M13" s="83"/>
      <c r="N13" s="83"/>
      <c r="O13" s="86"/>
      <c r="P13" s="86"/>
      <c r="Q13" s="86"/>
      <c r="R13" s="115"/>
      <c r="S13" s="115"/>
      <c r="T13" s="115"/>
      <c r="U13" s="72"/>
      <c r="V13" s="72"/>
      <c r="W13" s="72"/>
    </row>
    <row r="14" spans="1:26" ht="18.75" customHeight="1" x14ac:dyDescent="0.25">
      <c r="A14" s="10" t="s">
        <v>28</v>
      </c>
      <c r="B14" s="10" t="s">
        <v>38</v>
      </c>
      <c r="C14" s="75"/>
      <c r="D14" s="75"/>
      <c r="E14" s="75"/>
      <c r="F14" s="104"/>
      <c r="G14" s="104"/>
      <c r="H14" s="75"/>
      <c r="I14" s="107"/>
      <c r="J14" s="107"/>
      <c r="K14" s="107"/>
      <c r="L14" s="84"/>
      <c r="M14" s="84"/>
      <c r="N14" s="84"/>
      <c r="O14" s="87"/>
      <c r="P14" s="87"/>
      <c r="Q14" s="87"/>
      <c r="R14" s="116"/>
      <c r="S14" s="116"/>
      <c r="T14" s="116"/>
      <c r="U14" s="73"/>
      <c r="V14" s="73"/>
      <c r="W14" s="73"/>
      <c r="Z14" s="10"/>
    </row>
    <row r="15" spans="1:26" x14ac:dyDescent="0.25">
      <c r="A15" s="10" t="s">
        <v>29</v>
      </c>
      <c r="B15" s="10" t="s">
        <v>39</v>
      </c>
      <c r="C15" s="74">
        <v>4</v>
      </c>
      <c r="D15" s="74">
        <v>4</v>
      </c>
      <c r="E15" s="74">
        <v>8</v>
      </c>
      <c r="F15" s="74">
        <v>0</v>
      </c>
      <c r="G15" s="74">
        <v>0</v>
      </c>
      <c r="H15" s="74">
        <v>0</v>
      </c>
      <c r="I15" s="105">
        <v>4</v>
      </c>
      <c r="J15" s="105">
        <v>4</v>
      </c>
      <c r="K15" s="105">
        <v>8</v>
      </c>
      <c r="L15" s="82">
        <v>4</v>
      </c>
      <c r="M15" s="82">
        <v>4</v>
      </c>
      <c r="N15" s="82">
        <v>8</v>
      </c>
      <c r="O15" s="85">
        <v>4</v>
      </c>
      <c r="P15" s="85">
        <v>4</v>
      </c>
      <c r="Q15" s="85">
        <v>8</v>
      </c>
      <c r="R15" s="114">
        <v>4</v>
      </c>
      <c r="S15" s="114">
        <v>4</v>
      </c>
      <c r="T15" s="114">
        <v>8</v>
      </c>
      <c r="U15" s="71">
        <v>0</v>
      </c>
      <c r="V15" s="71">
        <v>0</v>
      </c>
      <c r="W15" s="71">
        <v>0</v>
      </c>
    </row>
    <row r="16" spans="1:26" ht="20.25" customHeight="1" x14ac:dyDescent="0.25">
      <c r="A16" s="10" t="s">
        <v>30</v>
      </c>
      <c r="B16" s="10" t="s">
        <v>40</v>
      </c>
      <c r="C16" s="76"/>
      <c r="D16" s="76"/>
      <c r="E16" s="76"/>
      <c r="F16" s="76"/>
      <c r="G16" s="76">
        <v>0</v>
      </c>
      <c r="H16" s="76">
        <v>0</v>
      </c>
      <c r="I16" s="106"/>
      <c r="J16" s="106"/>
      <c r="K16" s="106"/>
      <c r="L16" s="83"/>
      <c r="M16" s="83"/>
      <c r="N16" s="83"/>
      <c r="O16" s="86"/>
      <c r="P16" s="86"/>
      <c r="Q16" s="86"/>
      <c r="R16" s="115"/>
      <c r="S16" s="115"/>
      <c r="T16" s="115"/>
      <c r="U16" s="72"/>
      <c r="V16" s="72"/>
      <c r="W16" s="72"/>
    </row>
    <row r="17" spans="1:23" x14ac:dyDescent="0.25">
      <c r="A17" s="10" t="s">
        <v>31</v>
      </c>
      <c r="B17" s="10" t="s">
        <v>41</v>
      </c>
      <c r="C17" s="76"/>
      <c r="D17" s="76"/>
      <c r="E17" s="76"/>
      <c r="F17" s="76"/>
      <c r="G17" s="76">
        <v>0</v>
      </c>
      <c r="H17" s="76">
        <v>0</v>
      </c>
      <c r="I17" s="106"/>
      <c r="J17" s="106"/>
      <c r="K17" s="106"/>
      <c r="L17" s="83"/>
      <c r="M17" s="83"/>
      <c r="N17" s="83"/>
      <c r="O17" s="86"/>
      <c r="P17" s="86"/>
      <c r="Q17" s="86"/>
      <c r="R17" s="115"/>
      <c r="S17" s="115"/>
      <c r="T17" s="115"/>
      <c r="U17" s="72"/>
      <c r="V17" s="72"/>
      <c r="W17" s="72"/>
    </row>
    <row r="18" spans="1:23" x14ac:dyDescent="0.25">
      <c r="A18" s="10" t="s">
        <v>32</v>
      </c>
      <c r="B18" s="10" t="s">
        <v>37</v>
      </c>
      <c r="C18" s="76"/>
      <c r="D18" s="76"/>
      <c r="E18" s="76"/>
      <c r="F18" s="76"/>
      <c r="G18" s="76">
        <v>0</v>
      </c>
      <c r="H18" s="76">
        <v>0</v>
      </c>
      <c r="I18" s="106"/>
      <c r="J18" s="106"/>
      <c r="K18" s="106"/>
      <c r="L18" s="83"/>
      <c r="M18" s="83"/>
      <c r="N18" s="83"/>
      <c r="O18" s="86"/>
      <c r="P18" s="86"/>
      <c r="Q18" s="86"/>
      <c r="R18" s="115"/>
      <c r="S18" s="115"/>
      <c r="T18" s="115"/>
      <c r="U18" s="72"/>
      <c r="V18" s="72"/>
      <c r="W18" s="72"/>
    </row>
    <row r="19" spans="1:23" x14ac:dyDescent="0.25">
      <c r="A19" s="4" t="s">
        <v>33</v>
      </c>
      <c r="B19" s="10" t="s">
        <v>42</v>
      </c>
      <c r="C19" s="76"/>
      <c r="D19" s="76"/>
      <c r="E19" s="76"/>
      <c r="F19" s="76"/>
      <c r="G19" s="76">
        <v>0</v>
      </c>
      <c r="H19" s="76">
        <v>0</v>
      </c>
      <c r="I19" s="106"/>
      <c r="J19" s="106"/>
      <c r="K19" s="106"/>
      <c r="L19" s="83"/>
      <c r="M19" s="83"/>
      <c r="N19" s="83"/>
      <c r="O19" s="86"/>
      <c r="P19" s="86"/>
      <c r="Q19" s="86"/>
      <c r="R19" s="115"/>
      <c r="S19" s="115"/>
      <c r="T19" s="115"/>
      <c r="U19" s="72"/>
      <c r="V19" s="72"/>
      <c r="W19" s="72"/>
    </row>
    <row r="20" spans="1:23" x14ac:dyDescent="0.25">
      <c r="A20" s="10" t="s">
        <v>34</v>
      </c>
      <c r="B20" s="10" t="s">
        <v>43</v>
      </c>
      <c r="C20" s="75"/>
      <c r="D20" s="75"/>
      <c r="E20" s="75"/>
      <c r="F20" s="75"/>
      <c r="G20" s="75">
        <v>0</v>
      </c>
      <c r="H20" s="75">
        <v>0</v>
      </c>
      <c r="I20" s="107"/>
      <c r="J20" s="107"/>
      <c r="K20" s="107"/>
      <c r="L20" s="84"/>
      <c r="M20" s="84"/>
      <c r="N20" s="84"/>
      <c r="O20" s="87"/>
      <c r="P20" s="87"/>
      <c r="Q20" s="87"/>
      <c r="R20" s="116"/>
      <c r="S20" s="116"/>
      <c r="T20" s="116"/>
      <c r="U20" s="73"/>
      <c r="V20" s="73"/>
      <c r="W20" s="73"/>
    </row>
    <row r="21" spans="1:23" x14ac:dyDescent="0.25">
      <c r="A21" s="2">
        <v>3.2</v>
      </c>
      <c r="B21" s="148" t="s">
        <v>15</v>
      </c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50"/>
    </row>
    <row r="22" spans="1:23" x14ac:dyDescent="0.25">
      <c r="A22" s="10" t="s">
        <v>44</v>
      </c>
      <c r="B22" s="10" t="s">
        <v>50</v>
      </c>
      <c r="C22" s="76">
        <v>4</v>
      </c>
      <c r="D22" s="76">
        <v>4</v>
      </c>
      <c r="E22" s="76">
        <v>0</v>
      </c>
      <c r="F22" s="103">
        <v>4</v>
      </c>
      <c r="G22" s="103">
        <v>4</v>
      </c>
      <c r="H22" s="109">
        <v>0</v>
      </c>
      <c r="I22" s="106">
        <v>4</v>
      </c>
      <c r="J22" s="106">
        <v>4</v>
      </c>
      <c r="K22" s="109">
        <v>0</v>
      </c>
      <c r="L22" s="83">
        <v>4</v>
      </c>
      <c r="M22" s="83">
        <v>4</v>
      </c>
      <c r="N22" s="76">
        <v>0</v>
      </c>
      <c r="O22" s="86">
        <v>4</v>
      </c>
      <c r="P22" s="86">
        <v>4</v>
      </c>
      <c r="Q22" s="76">
        <v>0</v>
      </c>
      <c r="R22" s="115">
        <v>4</v>
      </c>
      <c r="S22" s="115">
        <v>4</v>
      </c>
      <c r="T22" s="76">
        <v>0</v>
      </c>
      <c r="U22" s="66">
        <v>4</v>
      </c>
      <c r="V22" s="66">
        <v>4</v>
      </c>
      <c r="W22" s="66">
        <v>0</v>
      </c>
    </row>
    <row r="23" spans="1:23" x14ac:dyDescent="0.25">
      <c r="A23" s="10" t="s">
        <v>45</v>
      </c>
      <c r="B23" s="10" t="s">
        <v>51</v>
      </c>
      <c r="C23" s="76"/>
      <c r="D23" s="76"/>
      <c r="E23" s="76"/>
      <c r="F23" s="103"/>
      <c r="G23" s="103"/>
      <c r="H23" s="109"/>
      <c r="I23" s="106"/>
      <c r="J23" s="106"/>
      <c r="K23" s="109"/>
      <c r="L23" s="83"/>
      <c r="M23" s="83"/>
      <c r="N23" s="76"/>
      <c r="O23" s="86"/>
      <c r="P23" s="86"/>
      <c r="Q23" s="76"/>
      <c r="R23" s="115"/>
      <c r="S23" s="115"/>
      <c r="T23" s="76"/>
      <c r="U23" s="81"/>
      <c r="V23" s="81"/>
      <c r="W23" s="81"/>
    </row>
    <row r="24" spans="1:23" x14ac:dyDescent="0.25">
      <c r="A24" s="10" t="s">
        <v>46</v>
      </c>
      <c r="B24" s="10" t="s">
        <v>52</v>
      </c>
      <c r="C24" s="76"/>
      <c r="D24" s="76"/>
      <c r="E24" s="76"/>
      <c r="F24" s="103"/>
      <c r="G24" s="103"/>
      <c r="H24" s="109"/>
      <c r="I24" s="106"/>
      <c r="J24" s="106"/>
      <c r="K24" s="109"/>
      <c r="L24" s="83"/>
      <c r="M24" s="83"/>
      <c r="N24" s="76"/>
      <c r="O24" s="86"/>
      <c r="P24" s="86"/>
      <c r="Q24" s="76"/>
      <c r="R24" s="115"/>
      <c r="S24" s="115"/>
      <c r="T24" s="76"/>
      <c r="U24" s="81"/>
      <c r="V24" s="81"/>
      <c r="W24" s="81"/>
    </row>
    <row r="25" spans="1:23" x14ac:dyDescent="0.25">
      <c r="A25" s="10" t="s">
        <v>47</v>
      </c>
      <c r="B25" s="10" t="s">
        <v>53</v>
      </c>
      <c r="C25" s="76"/>
      <c r="D25" s="76"/>
      <c r="E25" s="76"/>
      <c r="F25" s="103"/>
      <c r="G25" s="103"/>
      <c r="H25" s="109"/>
      <c r="I25" s="106"/>
      <c r="J25" s="106"/>
      <c r="K25" s="109"/>
      <c r="L25" s="83"/>
      <c r="M25" s="83"/>
      <c r="N25" s="76"/>
      <c r="O25" s="86"/>
      <c r="P25" s="86"/>
      <c r="Q25" s="76"/>
      <c r="R25" s="115"/>
      <c r="S25" s="115"/>
      <c r="T25" s="76"/>
      <c r="U25" s="81"/>
      <c r="V25" s="81"/>
      <c r="W25" s="81"/>
    </row>
    <row r="26" spans="1:23" x14ac:dyDescent="0.25">
      <c r="A26" s="10" t="s">
        <v>48</v>
      </c>
      <c r="B26" s="10" t="s">
        <v>54</v>
      </c>
      <c r="C26" s="76"/>
      <c r="D26" s="76"/>
      <c r="E26" s="76"/>
      <c r="F26" s="103"/>
      <c r="G26" s="103"/>
      <c r="H26" s="109"/>
      <c r="I26" s="106"/>
      <c r="J26" s="106"/>
      <c r="K26" s="109"/>
      <c r="L26" s="83"/>
      <c r="M26" s="83"/>
      <c r="N26" s="76"/>
      <c r="O26" s="86"/>
      <c r="P26" s="86"/>
      <c r="Q26" s="76"/>
      <c r="R26" s="115"/>
      <c r="S26" s="115"/>
      <c r="T26" s="76"/>
      <c r="U26" s="81"/>
      <c r="V26" s="81"/>
      <c r="W26" s="81"/>
    </row>
    <row r="27" spans="1:23" x14ac:dyDescent="0.25">
      <c r="A27" s="10" t="s">
        <v>49</v>
      </c>
      <c r="B27" s="10" t="s">
        <v>55</v>
      </c>
      <c r="C27" s="75"/>
      <c r="D27" s="75"/>
      <c r="E27" s="75"/>
      <c r="F27" s="104"/>
      <c r="G27" s="104"/>
      <c r="H27" s="110"/>
      <c r="I27" s="107"/>
      <c r="J27" s="107"/>
      <c r="K27" s="110"/>
      <c r="L27" s="84"/>
      <c r="M27" s="84"/>
      <c r="N27" s="75"/>
      <c r="O27" s="87"/>
      <c r="P27" s="87"/>
      <c r="Q27" s="75"/>
      <c r="R27" s="116"/>
      <c r="S27" s="116"/>
      <c r="T27" s="75"/>
      <c r="U27" s="67"/>
      <c r="V27" s="67"/>
      <c r="W27" s="67"/>
    </row>
    <row r="28" spans="1:23" x14ac:dyDescent="0.25">
      <c r="A28" s="2">
        <v>3.3</v>
      </c>
      <c r="B28" s="132" t="s">
        <v>16</v>
      </c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4"/>
    </row>
    <row r="29" spans="1:23" x14ac:dyDescent="0.25">
      <c r="A29" s="10" t="s">
        <v>56</v>
      </c>
      <c r="B29" s="10" t="s">
        <v>63</v>
      </c>
      <c r="C29" s="74">
        <v>4</v>
      </c>
      <c r="D29" s="74">
        <v>0</v>
      </c>
      <c r="E29" s="74">
        <v>8</v>
      </c>
      <c r="F29" s="102">
        <v>4</v>
      </c>
      <c r="G29" s="74">
        <v>0</v>
      </c>
      <c r="H29" s="102">
        <v>8</v>
      </c>
      <c r="I29" s="105">
        <v>4</v>
      </c>
      <c r="J29" s="74">
        <v>0</v>
      </c>
      <c r="K29" s="105">
        <v>8</v>
      </c>
      <c r="L29" s="82">
        <v>4</v>
      </c>
      <c r="M29" s="74">
        <v>0</v>
      </c>
      <c r="N29" s="82">
        <v>8</v>
      </c>
      <c r="O29" s="85">
        <v>4</v>
      </c>
      <c r="P29" s="74">
        <v>0</v>
      </c>
      <c r="Q29" s="85">
        <v>8</v>
      </c>
      <c r="R29" s="114">
        <v>4</v>
      </c>
      <c r="S29" s="74">
        <v>0</v>
      </c>
      <c r="T29" s="114">
        <v>8</v>
      </c>
      <c r="U29" s="71">
        <v>0</v>
      </c>
      <c r="V29" s="71">
        <v>0</v>
      </c>
      <c r="W29" s="71">
        <v>0</v>
      </c>
    </row>
    <row r="30" spans="1:23" x14ac:dyDescent="0.25">
      <c r="A30" s="10" t="s">
        <v>57</v>
      </c>
      <c r="B30" s="10" t="s">
        <v>64</v>
      </c>
      <c r="C30" s="76"/>
      <c r="D30" s="76"/>
      <c r="E30" s="76"/>
      <c r="F30" s="103"/>
      <c r="G30" s="76"/>
      <c r="H30" s="103"/>
      <c r="I30" s="106"/>
      <c r="J30" s="76"/>
      <c r="K30" s="106"/>
      <c r="L30" s="83"/>
      <c r="M30" s="76"/>
      <c r="N30" s="83"/>
      <c r="O30" s="86"/>
      <c r="P30" s="76"/>
      <c r="Q30" s="86"/>
      <c r="R30" s="115"/>
      <c r="S30" s="76"/>
      <c r="T30" s="115"/>
      <c r="U30" s="72"/>
      <c r="V30" s="72"/>
      <c r="W30" s="72"/>
    </row>
    <row r="31" spans="1:23" x14ac:dyDescent="0.25">
      <c r="A31" s="10" t="s">
        <v>58</v>
      </c>
      <c r="B31" s="10" t="s">
        <v>65</v>
      </c>
      <c r="C31" s="75"/>
      <c r="D31" s="75"/>
      <c r="E31" s="75"/>
      <c r="F31" s="104"/>
      <c r="G31" s="75"/>
      <c r="H31" s="104"/>
      <c r="I31" s="107"/>
      <c r="J31" s="75"/>
      <c r="K31" s="107"/>
      <c r="L31" s="84"/>
      <c r="M31" s="75"/>
      <c r="N31" s="84"/>
      <c r="O31" s="87"/>
      <c r="P31" s="75"/>
      <c r="Q31" s="87"/>
      <c r="R31" s="116"/>
      <c r="S31" s="75"/>
      <c r="T31" s="116"/>
      <c r="U31" s="72"/>
      <c r="V31" s="72"/>
      <c r="W31" s="72"/>
    </row>
    <row r="32" spans="1:23" ht="18" customHeight="1" x14ac:dyDescent="0.25">
      <c r="A32" s="10" t="s">
        <v>59</v>
      </c>
      <c r="B32" s="10" t="s">
        <v>66</v>
      </c>
      <c r="C32" s="74">
        <v>4</v>
      </c>
      <c r="D32" s="74">
        <v>8</v>
      </c>
      <c r="E32" s="74">
        <v>8</v>
      </c>
      <c r="F32" s="102">
        <v>4</v>
      </c>
      <c r="G32" s="102">
        <v>8</v>
      </c>
      <c r="H32" s="102">
        <v>8</v>
      </c>
      <c r="I32" s="105">
        <v>4</v>
      </c>
      <c r="J32" s="105">
        <v>8</v>
      </c>
      <c r="K32" s="105">
        <v>8</v>
      </c>
      <c r="L32" s="82">
        <v>4</v>
      </c>
      <c r="M32" s="82">
        <v>8</v>
      </c>
      <c r="N32" s="82">
        <v>8</v>
      </c>
      <c r="O32" s="85">
        <v>4</v>
      </c>
      <c r="P32" s="85">
        <v>8</v>
      </c>
      <c r="Q32" s="85">
        <v>8</v>
      </c>
      <c r="R32" s="114">
        <v>4</v>
      </c>
      <c r="S32" s="114">
        <v>8</v>
      </c>
      <c r="T32" s="114">
        <v>8</v>
      </c>
      <c r="U32" s="72"/>
      <c r="V32" s="72"/>
      <c r="W32" s="72"/>
    </row>
    <row r="33" spans="1:23" x14ac:dyDescent="0.25">
      <c r="A33" s="10" t="s">
        <v>60</v>
      </c>
      <c r="B33" s="10" t="s">
        <v>67</v>
      </c>
      <c r="C33" s="76"/>
      <c r="D33" s="76"/>
      <c r="E33" s="76"/>
      <c r="F33" s="103"/>
      <c r="G33" s="103"/>
      <c r="H33" s="103"/>
      <c r="I33" s="106"/>
      <c r="J33" s="106"/>
      <c r="K33" s="106"/>
      <c r="L33" s="83"/>
      <c r="M33" s="83"/>
      <c r="N33" s="83"/>
      <c r="O33" s="86"/>
      <c r="P33" s="86"/>
      <c r="Q33" s="86"/>
      <c r="R33" s="115"/>
      <c r="S33" s="115"/>
      <c r="T33" s="115"/>
      <c r="U33" s="72"/>
      <c r="V33" s="72"/>
      <c r="W33" s="72"/>
    </row>
    <row r="34" spans="1:23" x14ac:dyDescent="0.25">
      <c r="A34" s="10" t="s">
        <v>61</v>
      </c>
      <c r="B34" s="10" t="s">
        <v>68</v>
      </c>
      <c r="C34" s="76"/>
      <c r="D34" s="76"/>
      <c r="E34" s="76"/>
      <c r="F34" s="103"/>
      <c r="G34" s="103"/>
      <c r="H34" s="103"/>
      <c r="I34" s="106"/>
      <c r="J34" s="106"/>
      <c r="K34" s="106"/>
      <c r="L34" s="83"/>
      <c r="M34" s="83"/>
      <c r="N34" s="83"/>
      <c r="O34" s="86"/>
      <c r="P34" s="86"/>
      <c r="Q34" s="86"/>
      <c r="R34" s="115"/>
      <c r="S34" s="115"/>
      <c r="T34" s="115"/>
      <c r="U34" s="72"/>
      <c r="V34" s="72"/>
      <c r="W34" s="72"/>
    </row>
    <row r="35" spans="1:23" x14ac:dyDescent="0.25">
      <c r="A35" s="10" t="s">
        <v>62</v>
      </c>
      <c r="B35" s="10" t="s">
        <v>69</v>
      </c>
      <c r="C35" s="75"/>
      <c r="D35" s="75"/>
      <c r="E35" s="75"/>
      <c r="F35" s="104"/>
      <c r="G35" s="104"/>
      <c r="H35" s="104"/>
      <c r="I35" s="107"/>
      <c r="J35" s="107"/>
      <c r="K35" s="107"/>
      <c r="L35" s="84"/>
      <c r="M35" s="84"/>
      <c r="N35" s="84"/>
      <c r="O35" s="87"/>
      <c r="P35" s="87"/>
      <c r="Q35" s="87"/>
      <c r="R35" s="116"/>
      <c r="S35" s="116"/>
      <c r="T35" s="116"/>
      <c r="U35" s="72"/>
      <c r="V35" s="72"/>
      <c r="W35" s="72"/>
    </row>
    <row r="36" spans="1:23" x14ac:dyDescent="0.25">
      <c r="A36" s="2">
        <v>3.4</v>
      </c>
      <c r="B36" s="3" t="s">
        <v>17</v>
      </c>
      <c r="C36" s="74">
        <v>4</v>
      </c>
      <c r="D36" s="74">
        <v>16</v>
      </c>
      <c r="E36" s="74">
        <v>8</v>
      </c>
      <c r="F36" s="102">
        <v>4</v>
      </c>
      <c r="G36" s="102">
        <v>16</v>
      </c>
      <c r="H36" s="108">
        <v>0</v>
      </c>
      <c r="I36" s="105">
        <v>4</v>
      </c>
      <c r="J36" s="105">
        <v>16</v>
      </c>
      <c r="K36" s="105">
        <v>8</v>
      </c>
      <c r="L36" s="82">
        <v>4</v>
      </c>
      <c r="M36" s="82">
        <v>16</v>
      </c>
      <c r="N36" s="82">
        <v>24</v>
      </c>
      <c r="O36" s="85">
        <v>4</v>
      </c>
      <c r="P36" s="85">
        <v>16</v>
      </c>
      <c r="Q36" s="85">
        <v>8</v>
      </c>
      <c r="R36" s="114">
        <v>4</v>
      </c>
      <c r="S36" s="114">
        <v>8</v>
      </c>
      <c r="T36" s="114">
        <v>24</v>
      </c>
      <c r="U36" s="72"/>
      <c r="V36" s="72"/>
      <c r="W36" s="72"/>
    </row>
    <row r="37" spans="1:23" x14ac:dyDescent="0.25">
      <c r="A37" s="4" t="s">
        <v>70</v>
      </c>
      <c r="B37" s="10" t="s">
        <v>24</v>
      </c>
      <c r="C37" s="76"/>
      <c r="D37" s="76"/>
      <c r="E37" s="76"/>
      <c r="F37" s="103"/>
      <c r="G37" s="103"/>
      <c r="H37" s="109"/>
      <c r="I37" s="106"/>
      <c r="J37" s="106"/>
      <c r="K37" s="106"/>
      <c r="L37" s="83"/>
      <c r="M37" s="83"/>
      <c r="N37" s="83"/>
      <c r="O37" s="86"/>
      <c r="P37" s="86"/>
      <c r="Q37" s="86"/>
      <c r="R37" s="115"/>
      <c r="S37" s="115"/>
      <c r="T37" s="115"/>
      <c r="U37" s="72"/>
      <c r="V37" s="72"/>
      <c r="W37" s="72"/>
    </row>
    <row r="38" spans="1:23" x14ac:dyDescent="0.25">
      <c r="A38" s="4" t="s">
        <v>71</v>
      </c>
      <c r="B38" s="10" t="s">
        <v>35</v>
      </c>
      <c r="C38" s="76"/>
      <c r="D38" s="76"/>
      <c r="E38" s="76"/>
      <c r="F38" s="103"/>
      <c r="G38" s="103"/>
      <c r="H38" s="109"/>
      <c r="I38" s="106"/>
      <c r="J38" s="106"/>
      <c r="K38" s="106"/>
      <c r="L38" s="83"/>
      <c r="M38" s="83"/>
      <c r="N38" s="83"/>
      <c r="O38" s="86"/>
      <c r="P38" s="86"/>
      <c r="Q38" s="86"/>
      <c r="R38" s="115"/>
      <c r="S38" s="115"/>
      <c r="T38" s="115"/>
      <c r="U38" s="72"/>
      <c r="V38" s="72"/>
      <c r="W38" s="72"/>
    </row>
    <row r="39" spans="1:23" x14ac:dyDescent="0.25">
      <c r="A39" s="4" t="s">
        <v>72</v>
      </c>
      <c r="B39" s="10" t="s">
        <v>37</v>
      </c>
      <c r="C39" s="75"/>
      <c r="D39" s="75"/>
      <c r="E39" s="75"/>
      <c r="F39" s="104"/>
      <c r="G39" s="104"/>
      <c r="H39" s="110"/>
      <c r="I39" s="107"/>
      <c r="J39" s="107"/>
      <c r="K39" s="107"/>
      <c r="L39" s="84"/>
      <c r="M39" s="84"/>
      <c r="N39" s="84"/>
      <c r="O39" s="87"/>
      <c r="P39" s="87"/>
      <c r="Q39" s="87"/>
      <c r="R39" s="116"/>
      <c r="S39" s="116"/>
      <c r="T39" s="116"/>
      <c r="U39" s="73"/>
      <c r="V39" s="73"/>
      <c r="W39" s="73"/>
    </row>
    <row r="40" spans="1:23" s="28" customFormat="1" x14ac:dyDescent="0.25">
      <c r="A40" s="143" t="s">
        <v>160</v>
      </c>
      <c r="B40" s="144"/>
      <c r="C40" s="22">
        <f>C36+C32+C29+C22+C15+C12+C9</f>
        <v>28</v>
      </c>
      <c r="D40" s="22">
        <f t="shared" ref="D40:W40" si="4">D36+D32+D29+D22+D15+D12+D9</f>
        <v>40</v>
      </c>
      <c r="E40" s="22">
        <f t="shared" si="4"/>
        <v>56</v>
      </c>
      <c r="F40" s="23">
        <f t="shared" si="4"/>
        <v>24</v>
      </c>
      <c r="G40" s="23">
        <f t="shared" si="4"/>
        <v>36</v>
      </c>
      <c r="H40" s="23">
        <f t="shared" si="4"/>
        <v>16</v>
      </c>
      <c r="I40" s="24">
        <f t="shared" si="4"/>
        <v>28</v>
      </c>
      <c r="J40" s="24">
        <f t="shared" si="4"/>
        <v>40</v>
      </c>
      <c r="K40" s="24">
        <f t="shared" si="4"/>
        <v>56</v>
      </c>
      <c r="L40" s="25">
        <f t="shared" si="4"/>
        <v>28</v>
      </c>
      <c r="M40" s="25">
        <f t="shared" si="4"/>
        <v>40</v>
      </c>
      <c r="N40" s="25">
        <f t="shared" si="4"/>
        <v>72</v>
      </c>
      <c r="O40" s="26">
        <f t="shared" si="4"/>
        <v>28</v>
      </c>
      <c r="P40" s="26">
        <f t="shared" si="4"/>
        <v>40</v>
      </c>
      <c r="Q40" s="26">
        <f t="shared" si="4"/>
        <v>56</v>
      </c>
      <c r="R40" s="38">
        <f t="shared" si="4"/>
        <v>28</v>
      </c>
      <c r="S40" s="38">
        <f t="shared" si="4"/>
        <v>32</v>
      </c>
      <c r="T40" s="38">
        <f t="shared" si="4"/>
        <v>72</v>
      </c>
      <c r="U40" s="38">
        <f t="shared" si="4"/>
        <v>8</v>
      </c>
      <c r="V40" s="38">
        <f t="shared" si="4"/>
        <v>8</v>
      </c>
      <c r="W40" s="38">
        <f t="shared" si="4"/>
        <v>8</v>
      </c>
    </row>
    <row r="41" spans="1:23" x14ac:dyDescent="0.25">
      <c r="A41" s="2">
        <v>4</v>
      </c>
      <c r="B41" s="132" t="s">
        <v>159</v>
      </c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4"/>
    </row>
    <row r="42" spans="1:23" x14ac:dyDescent="0.25">
      <c r="A42" s="4">
        <v>4.0999999999999996</v>
      </c>
      <c r="B42" s="10" t="s">
        <v>78</v>
      </c>
      <c r="C42" s="4">
        <v>8</v>
      </c>
      <c r="D42" s="4">
        <v>0</v>
      </c>
      <c r="E42" s="4">
        <v>8</v>
      </c>
      <c r="F42" s="4">
        <v>0</v>
      </c>
      <c r="G42" s="4">
        <v>0</v>
      </c>
      <c r="H42" s="4">
        <v>0</v>
      </c>
      <c r="I42" s="6">
        <v>8</v>
      </c>
      <c r="J42" s="6">
        <v>0</v>
      </c>
      <c r="K42" s="6">
        <v>0</v>
      </c>
      <c r="L42" s="7">
        <v>8</v>
      </c>
      <c r="M42" s="7">
        <v>0</v>
      </c>
      <c r="N42" s="7">
        <v>8</v>
      </c>
      <c r="O42" s="8">
        <v>8</v>
      </c>
      <c r="P42" s="8">
        <v>0</v>
      </c>
      <c r="Q42" s="8">
        <v>0</v>
      </c>
      <c r="R42" s="12">
        <v>8</v>
      </c>
      <c r="S42" s="12">
        <v>0</v>
      </c>
      <c r="T42" s="12">
        <v>8</v>
      </c>
      <c r="U42" s="56">
        <v>8</v>
      </c>
      <c r="V42" s="56">
        <v>0</v>
      </c>
      <c r="W42" s="56">
        <v>0</v>
      </c>
    </row>
    <row r="43" spans="1:23" ht="19.5" customHeight="1" x14ac:dyDescent="0.25">
      <c r="A43" s="4">
        <f>A42+0.1</f>
        <v>4.1999999999999993</v>
      </c>
      <c r="B43" s="10" t="s">
        <v>74</v>
      </c>
      <c r="C43" s="4">
        <v>8</v>
      </c>
      <c r="D43" s="4">
        <v>0</v>
      </c>
      <c r="E43" s="4">
        <v>8</v>
      </c>
      <c r="F43" s="4">
        <v>0</v>
      </c>
      <c r="G43" s="4">
        <v>0</v>
      </c>
      <c r="H43" s="4">
        <v>0</v>
      </c>
      <c r="I43" s="6">
        <v>8</v>
      </c>
      <c r="J43" s="6">
        <v>0</v>
      </c>
      <c r="K43" s="6">
        <v>0</v>
      </c>
      <c r="L43" s="7">
        <v>8</v>
      </c>
      <c r="M43" s="7">
        <v>0</v>
      </c>
      <c r="N43" s="7">
        <v>8</v>
      </c>
      <c r="O43" s="8">
        <v>8</v>
      </c>
      <c r="P43" s="8">
        <v>0</v>
      </c>
      <c r="Q43" s="8">
        <v>0</v>
      </c>
      <c r="R43" s="12">
        <v>8</v>
      </c>
      <c r="S43" s="12">
        <v>0</v>
      </c>
      <c r="T43" s="12">
        <v>8</v>
      </c>
      <c r="U43" s="56">
        <v>8</v>
      </c>
      <c r="V43" s="56">
        <v>0</v>
      </c>
      <c r="W43" s="56">
        <v>0</v>
      </c>
    </row>
    <row r="44" spans="1:23" x14ac:dyDescent="0.25">
      <c r="A44" s="4">
        <f t="shared" ref="A44:A53" si="5">A43+0.1</f>
        <v>4.2999999999999989</v>
      </c>
      <c r="B44" s="10" t="s">
        <v>75</v>
      </c>
      <c r="C44" s="4">
        <v>8</v>
      </c>
      <c r="D44" s="4">
        <v>0</v>
      </c>
      <c r="E44" s="4">
        <v>8</v>
      </c>
      <c r="F44" s="4">
        <v>0</v>
      </c>
      <c r="G44" s="4">
        <v>0</v>
      </c>
      <c r="H44" s="4">
        <v>0</v>
      </c>
      <c r="I44" s="6">
        <v>8</v>
      </c>
      <c r="J44" s="6">
        <v>0</v>
      </c>
      <c r="K44" s="6">
        <v>0</v>
      </c>
      <c r="L44" s="7">
        <v>8</v>
      </c>
      <c r="M44" s="7">
        <v>0</v>
      </c>
      <c r="N44" s="7">
        <v>8</v>
      </c>
      <c r="O44" s="8">
        <v>8</v>
      </c>
      <c r="P44" s="8">
        <v>0</v>
      </c>
      <c r="Q44" s="8">
        <v>0</v>
      </c>
      <c r="R44" s="12">
        <v>8</v>
      </c>
      <c r="S44" s="12">
        <v>0</v>
      </c>
      <c r="T44" s="12">
        <v>8</v>
      </c>
      <c r="U44" s="56">
        <v>8</v>
      </c>
      <c r="V44" s="56">
        <v>0</v>
      </c>
      <c r="W44" s="56">
        <v>0</v>
      </c>
    </row>
    <row r="45" spans="1:23" x14ac:dyDescent="0.25">
      <c r="A45" s="4">
        <f t="shared" si="5"/>
        <v>4.3999999999999986</v>
      </c>
      <c r="B45" s="10" t="s">
        <v>76</v>
      </c>
      <c r="C45" s="4">
        <v>8</v>
      </c>
      <c r="D45" s="4">
        <v>0</v>
      </c>
      <c r="E45" s="4">
        <v>8</v>
      </c>
      <c r="F45" s="4">
        <v>0</v>
      </c>
      <c r="G45" s="4">
        <v>0</v>
      </c>
      <c r="H45" s="4">
        <v>0</v>
      </c>
      <c r="I45" s="6">
        <v>8</v>
      </c>
      <c r="J45" s="6">
        <v>0</v>
      </c>
      <c r="K45" s="6">
        <v>0</v>
      </c>
      <c r="L45" s="7">
        <v>8</v>
      </c>
      <c r="M45" s="7">
        <v>0</v>
      </c>
      <c r="N45" s="7">
        <v>8</v>
      </c>
      <c r="O45" s="8">
        <v>8</v>
      </c>
      <c r="P45" s="8">
        <v>0</v>
      </c>
      <c r="Q45" s="8">
        <v>0</v>
      </c>
      <c r="R45" s="12">
        <v>8</v>
      </c>
      <c r="S45" s="12">
        <v>0</v>
      </c>
      <c r="T45" s="12">
        <v>8</v>
      </c>
      <c r="U45" s="56">
        <v>8</v>
      </c>
      <c r="V45" s="56">
        <v>0</v>
      </c>
      <c r="W45" s="56">
        <v>0</v>
      </c>
    </row>
    <row r="46" spans="1:23" x14ac:dyDescent="0.25">
      <c r="A46" s="4">
        <f t="shared" si="5"/>
        <v>4.4999999999999982</v>
      </c>
      <c r="B46" s="10" t="s">
        <v>82</v>
      </c>
      <c r="C46" s="4">
        <v>8</v>
      </c>
      <c r="D46" s="4">
        <v>0</v>
      </c>
      <c r="E46" s="4">
        <v>8</v>
      </c>
      <c r="F46" s="4">
        <v>0</v>
      </c>
      <c r="G46" s="4">
        <v>0</v>
      </c>
      <c r="H46" s="4">
        <v>0</v>
      </c>
      <c r="I46" s="6">
        <v>8</v>
      </c>
      <c r="J46" s="6">
        <v>0</v>
      </c>
      <c r="K46" s="6">
        <v>0</v>
      </c>
      <c r="L46" s="7">
        <v>8</v>
      </c>
      <c r="M46" s="7">
        <v>0</v>
      </c>
      <c r="N46" s="7">
        <v>8</v>
      </c>
      <c r="O46" s="8">
        <v>8</v>
      </c>
      <c r="P46" s="8">
        <v>0</v>
      </c>
      <c r="Q46" s="8">
        <v>0</v>
      </c>
      <c r="R46" s="12">
        <v>8</v>
      </c>
      <c r="S46" s="12">
        <v>0</v>
      </c>
      <c r="T46" s="12">
        <v>8</v>
      </c>
      <c r="U46" s="56">
        <v>8</v>
      </c>
      <c r="V46" s="56">
        <v>0</v>
      </c>
      <c r="W46" s="56">
        <v>0</v>
      </c>
    </row>
    <row r="47" spans="1:23" x14ac:dyDescent="0.25">
      <c r="A47" s="4">
        <f t="shared" si="5"/>
        <v>4.5999999999999979</v>
      </c>
      <c r="B47" s="10" t="s">
        <v>91</v>
      </c>
      <c r="C47" s="4">
        <v>8</v>
      </c>
      <c r="D47" s="4">
        <v>0</v>
      </c>
      <c r="E47" s="4">
        <v>8</v>
      </c>
      <c r="F47" s="4">
        <v>0</v>
      </c>
      <c r="G47" s="4">
        <v>0</v>
      </c>
      <c r="H47" s="4">
        <v>0</v>
      </c>
      <c r="I47" s="6">
        <v>8</v>
      </c>
      <c r="J47" s="6">
        <v>0</v>
      </c>
      <c r="K47" s="6">
        <v>0</v>
      </c>
      <c r="L47" s="7">
        <v>8</v>
      </c>
      <c r="M47" s="7">
        <v>0</v>
      </c>
      <c r="N47" s="7">
        <v>8</v>
      </c>
      <c r="O47" s="8">
        <v>8</v>
      </c>
      <c r="P47" s="8">
        <v>0</v>
      </c>
      <c r="Q47" s="8">
        <v>0</v>
      </c>
      <c r="R47" s="12">
        <v>8</v>
      </c>
      <c r="S47" s="12">
        <v>0</v>
      </c>
      <c r="T47" s="12">
        <v>8</v>
      </c>
      <c r="U47" s="56">
        <v>8</v>
      </c>
      <c r="V47" s="56">
        <v>0</v>
      </c>
      <c r="W47" s="56">
        <v>0</v>
      </c>
    </row>
    <row r="48" spans="1:23" x14ac:dyDescent="0.25">
      <c r="A48" s="4">
        <f>A60+0.01</f>
        <v>4.169999999999999</v>
      </c>
      <c r="B48" s="10" t="s">
        <v>84</v>
      </c>
      <c r="C48" s="4">
        <v>8</v>
      </c>
      <c r="D48" s="4">
        <v>0</v>
      </c>
      <c r="E48" s="4">
        <v>8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7">
        <v>8</v>
      </c>
      <c r="M48" s="7">
        <v>0</v>
      </c>
      <c r="N48" s="7">
        <v>8</v>
      </c>
      <c r="O48" s="8">
        <v>8</v>
      </c>
      <c r="P48" s="8">
        <v>0</v>
      </c>
      <c r="Q48" s="8">
        <v>0</v>
      </c>
      <c r="R48" s="12">
        <v>8</v>
      </c>
      <c r="S48" s="12">
        <v>0</v>
      </c>
      <c r="T48" s="12">
        <v>8</v>
      </c>
      <c r="U48" s="11">
        <v>0</v>
      </c>
      <c r="V48" s="11">
        <v>0</v>
      </c>
      <c r="W48" s="11">
        <v>0</v>
      </c>
    </row>
    <row r="49" spans="1:23" x14ac:dyDescent="0.25">
      <c r="A49" s="4">
        <f>A48+0.01</f>
        <v>4.1799999999999988</v>
      </c>
      <c r="B49" s="10" t="s">
        <v>86</v>
      </c>
      <c r="C49" s="4">
        <v>8</v>
      </c>
      <c r="D49" s="4">
        <v>0</v>
      </c>
      <c r="E49" s="4">
        <v>8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7">
        <v>8</v>
      </c>
      <c r="M49" s="7">
        <v>0</v>
      </c>
      <c r="N49" s="7">
        <v>8</v>
      </c>
      <c r="O49" s="8">
        <v>8</v>
      </c>
      <c r="P49" s="8">
        <v>0</v>
      </c>
      <c r="Q49" s="8">
        <v>0</v>
      </c>
      <c r="R49" s="12">
        <v>8</v>
      </c>
      <c r="S49" s="12">
        <v>0</v>
      </c>
      <c r="T49" s="12">
        <v>8</v>
      </c>
      <c r="U49" s="11">
        <v>0</v>
      </c>
      <c r="V49" s="11">
        <v>0</v>
      </c>
      <c r="W49" s="11">
        <v>0</v>
      </c>
    </row>
    <row r="50" spans="1:23" x14ac:dyDescent="0.25">
      <c r="A50" s="4">
        <f>A49+0.01</f>
        <v>4.1899999999999986</v>
      </c>
      <c r="B50" s="10" t="s">
        <v>85</v>
      </c>
      <c r="C50" s="4">
        <v>8</v>
      </c>
      <c r="D50" s="4">
        <v>0</v>
      </c>
      <c r="E50" s="4">
        <v>8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7">
        <v>8</v>
      </c>
      <c r="M50" s="7">
        <v>0</v>
      </c>
      <c r="N50" s="7">
        <v>8</v>
      </c>
      <c r="O50" s="8">
        <v>8</v>
      </c>
      <c r="P50" s="8">
        <v>0</v>
      </c>
      <c r="Q50" s="8">
        <v>0</v>
      </c>
      <c r="R50" s="12">
        <v>8</v>
      </c>
      <c r="S50" s="12">
        <v>0</v>
      </c>
      <c r="T50" s="12">
        <v>8</v>
      </c>
      <c r="U50" s="11">
        <v>0</v>
      </c>
      <c r="V50" s="11">
        <v>0</v>
      </c>
      <c r="W50" s="11">
        <v>0</v>
      </c>
    </row>
    <row r="51" spans="1:23" x14ac:dyDescent="0.25">
      <c r="A51" s="4">
        <f>A47+0.1</f>
        <v>4.6999999999999975</v>
      </c>
      <c r="B51" s="1" t="s">
        <v>83</v>
      </c>
      <c r="C51" s="4">
        <v>8</v>
      </c>
      <c r="D51" s="4">
        <v>0</v>
      </c>
      <c r="E51" s="4">
        <v>8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7">
        <v>8</v>
      </c>
      <c r="M51" s="7">
        <v>0</v>
      </c>
      <c r="N51" s="7">
        <v>8</v>
      </c>
      <c r="O51" s="11">
        <v>0</v>
      </c>
      <c r="P51" s="11">
        <v>0</v>
      </c>
      <c r="Q51" s="11">
        <v>0</v>
      </c>
      <c r="R51" s="12">
        <v>8</v>
      </c>
      <c r="S51" s="12">
        <v>0</v>
      </c>
      <c r="T51" s="12">
        <v>8</v>
      </c>
      <c r="U51" s="11">
        <v>0</v>
      </c>
      <c r="V51" s="11">
        <v>0</v>
      </c>
      <c r="W51" s="11">
        <v>0</v>
      </c>
    </row>
    <row r="52" spans="1:23" x14ac:dyDescent="0.25">
      <c r="A52" s="4">
        <f t="shared" si="5"/>
        <v>4.7999999999999972</v>
      </c>
      <c r="B52" s="1" t="s">
        <v>89</v>
      </c>
      <c r="C52" s="4">
        <v>8</v>
      </c>
      <c r="D52" s="4">
        <v>0</v>
      </c>
      <c r="E52" s="4">
        <v>8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7">
        <v>8</v>
      </c>
      <c r="M52" s="7">
        <v>0</v>
      </c>
      <c r="N52" s="7">
        <v>8</v>
      </c>
      <c r="O52" s="11">
        <v>0</v>
      </c>
      <c r="P52" s="11">
        <v>0</v>
      </c>
      <c r="Q52" s="11">
        <v>0</v>
      </c>
      <c r="R52" s="12">
        <v>8</v>
      </c>
      <c r="S52" s="12">
        <v>0</v>
      </c>
      <c r="T52" s="12">
        <v>8</v>
      </c>
      <c r="U52" s="11">
        <v>0</v>
      </c>
      <c r="V52" s="11">
        <v>0</v>
      </c>
      <c r="W52" s="11">
        <v>0</v>
      </c>
    </row>
    <row r="53" spans="1:23" x14ac:dyDescent="0.25">
      <c r="A53" s="4">
        <f t="shared" si="5"/>
        <v>4.8999999999999968</v>
      </c>
      <c r="B53" s="1" t="s">
        <v>79</v>
      </c>
      <c r="C53" s="4">
        <v>8</v>
      </c>
      <c r="D53" s="4">
        <v>0</v>
      </c>
      <c r="E53" s="4">
        <v>8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7">
        <v>8</v>
      </c>
      <c r="M53" s="7">
        <v>0</v>
      </c>
      <c r="N53" s="7">
        <v>8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</row>
    <row r="54" spans="1:23" x14ac:dyDescent="0.25">
      <c r="A54" s="14">
        <v>4.0999999999999996</v>
      </c>
      <c r="B54" s="1" t="s">
        <v>80</v>
      </c>
      <c r="C54" s="4">
        <v>8</v>
      </c>
      <c r="D54" s="4">
        <v>0</v>
      </c>
      <c r="E54" s="4">
        <v>8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7">
        <v>8</v>
      </c>
      <c r="M54" s="7">
        <v>0</v>
      </c>
      <c r="N54" s="7">
        <v>8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</row>
    <row r="55" spans="1:23" x14ac:dyDescent="0.25">
      <c r="A55" s="4">
        <v>4.1100000000000003</v>
      </c>
      <c r="B55" s="1" t="s">
        <v>90</v>
      </c>
      <c r="C55" s="4">
        <v>8</v>
      </c>
      <c r="D55" s="4">
        <v>0</v>
      </c>
      <c r="E55" s="4">
        <v>8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7">
        <v>8</v>
      </c>
      <c r="M55" s="7">
        <v>0</v>
      </c>
      <c r="N55" s="7">
        <v>8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</row>
    <row r="56" spans="1:23" x14ac:dyDescent="0.25">
      <c r="A56" s="4">
        <f>A55+0.01</f>
        <v>4.12</v>
      </c>
      <c r="B56" s="1" t="s">
        <v>81</v>
      </c>
      <c r="C56" s="4">
        <v>8</v>
      </c>
      <c r="D56" s="4">
        <v>0</v>
      </c>
      <c r="E56" s="4">
        <v>8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7">
        <v>8</v>
      </c>
      <c r="M56" s="7">
        <v>0</v>
      </c>
      <c r="N56" s="7">
        <v>8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</row>
    <row r="57" spans="1:23" x14ac:dyDescent="0.25">
      <c r="A57" s="4">
        <f t="shared" ref="A57:A59" si="6">A56+0.01</f>
        <v>4.13</v>
      </c>
      <c r="B57" s="10" t="s">
        <v>77</v>
      </c>
      <c r="C57" s="4">
        <v>8</v>
      </c>
      <c r="D57" s="4">
        <v>0</v>
      </c>
      <c r="E57" s="4">
        <v>8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7">
        <v>8</v>
      </c>
      <c r="M57" s="7">
        <v>0</v>
      </c>
      <c r="N57" s="7">
        <v>8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</row>
    <row r="58" spans="1:23" x14ac:dyDescent="0.25">
      <c r="A58" s="4">
        <f t="shared" si="6"/>
        <v>4.1399999999999997</v>
      </c>
      <c r="B58" s="10" t="s">
        <v>73</v>
      </c>
      <c r="C58" s="4">
        <v>8</v>
      </c>
      <c r="D58" s="4">
        <v>0</v>
      </c>
      <c r="E58" s="4">
        <v>8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7">
        <v>8</v>
      </c>
      <c r="M58" s="7">
        <v>0</v>
      </c>
      <c r="N58" s="7">
        <v>8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</row>
    <row r="59" spans="1:23" x14ac:dyDescent="0.25">
      <c r="A59" s="4">
        <f t="shared" si="6"/>
        <v>4.1499999999999995</v>
      </c>
      <c r="B59" s="10" t="s">
        <v>87</v>
      </c>
      <c r="C59" s="4">
        <v>8</v>
      </c>
      <c r="D59" s="4">
        <v>0</v>
      </c>
      <c r="E59" s="4">
        <v>8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7">
        <v>8</v>
      </c>
      <c r="M59" s="7">
        <v>0</v>
      </c>
      <c r="N59" s="7">
        <v>8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</row>
    <row r="60" spans="1:23" x14ac:dyDescent="0.25">
      <c r="A60" s="4">
        <f>A59+0.01</f>
        <v>4.1599999999999993</v>
      </c>
      <c r="B60" s="10" t="s">
        <v>88</v>
      </c>
      <c r="C60" s="4">
        <v>8</v>
      </c>
      <c r="D60" s="4">
        <v>0</v>
      </c>
      <c r="E60" s="4">
        <v>8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7">
        <v>8</v>
      </c>
      <c r="M60" s="7">
        <v>0</v>
      </c>
      <c r="N60" s="7">
        <v>8</v>
      </c>
      <c r="O60" s="8">
        <v>8</v>
      </c>
      <c r="P60" s="8">
        <v>0</v>
      </c>
      <c r="Q60" s="8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</row>
    <row r="61" spans="1:23" s="28" customFormat="1" x14ac:dyDescent="0.25">
      <c r="A61" s="143" t="s">
        <v>160</v>
      </c>
      <c r="B61" s="144"/>
      <c r="C61" s="20">
        <f>C60+C59+C58+C57+C56+C55+C54+C53+C52+C51+C50+C49+C48+C47+C46+C45+C44+C43+C42</f>
        <v>152</v>
      </c>
      <c r="D61" s="20">
        <f t="shared" ref="D61:W61" si="7">D60+D59+D58+D57+D56+D55+D54+D53+D52+D51+D50+D49+D48+D47+D46+D45+D44+D43+D42</f>
        <v>0</v>
      </c>
      <c r="E61" s="20">
        <f t="shared" si="7"/>
        <v>152</v>
      </c>
      <c r="F61" s="34">
        <f t="shared" si="7"/>
        <v>0</v>
      </c>
      <c r="G61" s="34">
        <f t="shared" si="7"/>
        <v>0</v>
      </c>
      <c r="H61" s="34">
        <f t="shared" si="7"/>
        <v>0</v>
      </c>
      <c r="I61" s="35">
        <f t="shared" si="7"/>
        <v>48</v>
      </c>
      <c r="J61" s="35">
        <f t="shared" si="7"/>
        <v>0</v>
      </c>
      <c r="K61" s="35">
        <f t="shared" si="7"/>
        <v>0</v>
      </c>
      <c r="L61" s="36">
        <f t="shared" si="7"/>
        <v>152</v>
      </c>
      <c r="M61" s="36">
        <f t="shared" si="7"/>
        <v>0</v>
      </c>
      <c r="N61" s="36">
        <f t="shared" si="7"/>
        <v>152</v>
      </c>
      <c r="O61" s="37">
        <f t="shared" si="7"/>
        <v>80</v>
      </c>
      <c r="P61" s="37">
        <f t="shared" si="7"/>
        <v>0</v>
      </c>
      <c r="Q61" s="37">
        <f t="shared" si="7"/>
        <v>0</v>
      </c>
      <c r="R61" s="21">
        <f t="shared" si="7"/>
        <v>88</v>
      </c>
      <c r="S61" s="21">
        <f t="shared" si="7"/>
        <v>0</v>
      </c>
      <c r="T61" s="21">
        <f t="shared" si="7"/>
        <v>88</v>
      </c>
      <c r="U61" s="57">
        <f t="shared" si="7"/>
        <v>48</v>
      </c>
      <c r="V61" s="57">
        <f t="shared" si="7"/>
        <v>0</v>
      </c>
      <c r="W61" s="57">
        <f t="shared" si="7"/>
        <v>0</v>
      </c>
    </row>
    <row r="62" spans="1:23" s="28" customFormat="1" x14ac:dyDescent="0.25">
      <c r="A62" s="2">
        <v>5</v>
      </c>
      <c r="B62" s="132" t="s">
        <v>162</v>
      </c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4"/>
    </row>
    <row r="63" spans="1:23" x14ac:dyDescent="0.25">
      <c r="A63" s="2">
        <v>5.0999999999999996</v>
      </c>
      <c r="B63" s="132" t="s">
        <v>18</v>
      </c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4"/>
    </row>
    <row r="64" spans="1:23" x14ac:dyDescent="0.25">
      <c r="A64" s="4" t="s">
        <v>93</v>
      </c>
      <c r="B64" s="10" t="s">
        <v>92</v>
      </c>
      <c r="C64" s="74">
        <v>4</v>
      </c>
      <c r="D64" s="74">
        <v>4</v>
      </c>
      <c r="E64" s="74">
        <v>8</v>
      </c>
      <c r="F64" s="74">
        <v>0</v>
      </c>
      <c r="G64" s="74">
        <v>0</v>
      </c>
      <c r="H64" s="74">
        <v>0</v>
      </c>
      <c r="I64" s="105">
        <v>4</v>
      </c>
      <c r="J64" s="105">
        <v>4</v>
      </c>
      <c r="K64" s="105">
        <v>8</v>
      </c>
      <c r="L64" s="82">
        <v>4</v>
      </c>
      <c r="M64" s="82">
        <v>4</v>
      </c>
      <c r="N64" s="82">
        <v>8</v>
      </c>
      <c r="O64" s="74">
        <v>0</v>
      </c>
      <c r="P64" s="74">
        <v>0</v>
      </c>
      <c r="Q64" s="74">
        <v>0</v>
      </c>
      <c r="R64" s="74">
        <v>0</v>
      </c>
      <c r="S64" s="74">
        <v>0</v>
      </c>
      <c r="T64" s="74">
        <v>0</v>
      </c>
      <c r="U64" s="66">
        <v>4</v>
      </c>
      <c r="V64" s="66">
        <v>4</v>
      </c>
      <c r="W64" s="66">
        <v>8</v>
      </c>
    </row>
    <row r="65" spans="1:23" ht="15" customHeight="1" x14ac:dyDescent="0.25">
      <c r="A65" s="4" t="s">
        <v>94</v>
      </c>
      <c r="B65" s="10" t="s">
        <v>111</v>
      </c>
      <c r="C65" s="76"/>
      <c r="D65" s="76"/>
      <c r="E65" s="76"/>
      <c r="F65" s="76"/>
      <c r="G65" s="76">
        <v>0</v>
      </c>
      <c r="H65" s="76">
        <v>0</v>
      </c>
      <c r="I65" s="106"/>
      <c r="J65" s="106">
        <v>6</v>
      </c>
      <c r="K65" s="106">
        <v>4</v>
      </c>
      <c r="L65" s="83"/>
      <c r="M65" s="83">
        <v>6</v>
      </c>
      <c r="N65" s="83">
        <v>4</v>
      </c>
      <c r="O65" s="76"/>
      <c r="P65" s="76">
        <v>0</v>
      </c>
      <c r="Q65" s="76">
        <v>0</v>
      </c>
      <c r="R65" s="76">
        <v>0</v>
      </c>
      <c r="S65" s="76">
        <v>0</v>
      </c>
      <c r="T65" s="76">
        <v>0</v>
      </c>
      <c r="U65" s="81"/>
      <c r="V65" s="81"/>
      <c r="W65" s="81"/>
    </row>
    <row r="66" spans="1:23" ht="15.75" customHeight="1" x14ac:dyDescent="0.25">
      <c r="A66" s="4" t="s">
        <v>95</v>
      </c>
      <c r="B66" s="10" t="s">
        <v>112</v>
      </c>
      <c r="C66" s="75"/>
      <c r="D66" s="75"/>
      <c r="E66" s="75"/>
      <c r="F66" s="75"/>
      <c r="G66" s="75">
        <v>0</v>
      </c>
      <c r="H66" s="75">
        <v>0</v>
      </c>
      <c r="I66" s="107"/>
      <c r="J66" s="107">
        <v>4</v>
      </c>
      <c r="K66" s="107">
        <v>4</v>
      </c>
      <c r="L66" s="84"/>
      <c r="M66" s="84">
        <v>4</v>
      </c>
      <c r="N66" s="84">
        <v>4</v>
      </c>
      <c r="O66" s="75"/>
      <c r="P66" s="75">
        <v>0</v>
      </c>
      <c r="Q66" s="75">
        <v>0</v>
      </c>
      <c r="R66" s="75">
        <v>0</v>
      </c>
      <c r="S66" s="75">
        <v>0</v>
      </c>
      <c r="T66" s="75">
        <v>0</v>
      </c>
      <c r="U66" s="67"/>
      <c r="V66" s="67"/>
      <c r="W66" s="67"/>
    </row>
    <row r="67" spans="1:23" ht="15.75" customHeight="1" x14ac:dyDescent="0.25">
      <c r="A67" s="4" t="s">
        <v>96</v>
      </c>
      <c r="B67" s="10" t="s">
        <v>109</v>
      </c>
      <c r="C67" s="74">
        <v>4</v>
      </c>
      <c r="D67" s="74">
        <v>4</v>
      </c>
      <c r="E67" s="74">
        <v>8</v>
      </c>
      <c r="F67" s="74">
        <v>0</v>
      </c>
      <c r="G67" s="74">
        <v>0</v>
      </c>
      <c r="H67" s="74">
        <v>0</v>
      </c>
      <c r="I67" s="105">
        <v>4</v>
      </c>
      <c r="J67" s="105">
        <v>4</v>
      </c>
      <c r="K67" s="105">
        <v>8</v>
      </c>
      <c r="L67" s="82">
        <v>4</v>
      </c>
      <c r="M67" s="82">
        <v>4</v>
      </c>
      <c r="N67" s="82">
        <v>8</v>
      </c>
      <c r="O67" s="74">
        <v>0</v>
      </c>
      <c r="P67" s="74">
        <v>0</v>
      </c>
      <c r="Q67" s="74">
        <v>0</v>
      </c>
      <c r="R67" s="74">
        <v>0</v>
      </c>
      <c r="S67" s="74">
        <v>0</v>
      </c>
      <c r="T67" s="74">
        <v>0</v>
      </c>
      <c r="U67" s="74">
        <v>0</v>
      </c>
      <c r="V67" s="74">
        <v>0</v>
      </c>
      <c r="W67" s="74">
        <v>0</v>
      </c>
    </row>
    <row r="68" spans="1:23" x14ac:dyDescent="0.25">
      <c r="A68" s="4" t="s">
        <v>97</v>
      </c>
      <c r="B68" s="10" t="s">
        <v>110</v>
      </c>
      <c r="C68" s="76"/>
      <c r="D68" s="76">
        <v>4</v>
      </c>
      <c r="E68" s="76">
        <v>8</v>
      </c>
      <c r="F68" s="76">
        <v>0</v>
      </c>
      <c r="G68" s="76">
        <v>0</v>
      </c>
      <c r="H68" s="76">
        <v>0</v>
      </c>
      <c r="I68" s="106"/>
      <c r="J68" s="106">
        <v>4</v>
      </c>
      <c r="K68" s="106">
        <v>8</v>
      </c>
      <c r="L68" s="83"/>
      <c r="M68" s="83">
        <v>4</v>
      </c>
      <c r="N68" s="83">
        <v>8</v>
      </c>
      <c r="O68" s="76"/>
      <c r="P68" s="76">
        <v>0</v>
      </c>
      <c r="Q68" s="76">
        <v>0</v>
      </c>
      <c r="R68" s="76">
        <v>0</v>
      </c>
      <c r="S68" s="76">
        <v>0</v>
      </c>
      <c r="T68" s="76">
        <v>0</v>
      </c>
      <c r="U68" s="76">
        <v>0</v>
      </c>
      <c r="V68" s="76">
        <v>0</v>
      </c>
      <c r="W68" s="76">
        <v>0</v>
      </c>
    </row>
    <row r="69" spans="1:23" x14ac:dyDescent="0.25">
      <c r="A69" s="4" t="s">
        <v>98</v>
      </c>
      <c r="B69" s="10" t="s">
        <v>113</v>
      </c>
      <c r="C69" s="75"/>
      <c r="D69" s="75">
        <v>8</v>
      </c>
      <c r="E69" s="75">
        <v>8</v>
      </c>
      <c r="F69" s="75">
        <v>0</v>
      </c>
      <c r="G69" s="75">
        <v>0</v>
      </c>
      <c r="H69" s="75">
        <v>0</v>
      </c>
      <c r="I69" s="107"/>
      <c r="J69" s="107">
        <v>8</v>
      </c>
      <c r="K69" s="107">
        <v>8</v>
      </c>
      <c r="L69" s="84"/>
      <c r="M69" s="84">
        <v>8</v>
      </c>
      <c r="N69" s="84">
        <v>8</v>
      </c>
      <c r="O69" s="75"/>
      <c r="P69" s="75">
        <v>0</v>
      </c>
      <c r="Q69" s="75">
        <v>0</v>
      </c>
      <c r="R69" s="75">
        <v>0</v>
      </c>
      <c r="S69" s="75">
        <v>0</v>
      </c>
      <c r="T69" s="75">
        <v>0</v>
      </c>
      <c r="U69" s="75">
        <v>0</v>
      </c>
      <c r="V69" s="75">
        <v>0</v>
      </c>
      <c r="W69" s="75">
        <v>0</v>
      </c>
    </row>
    <row r="70" spans="1:23" x14ac:dyDescent="0.25">
      <c r="A70" s="4" t="s">
        <v>99</v>
      </c>
      <c r="B70" s="10" t="s">
        <v>117</v>
      </c>
      <c r="C70" s="74">
        <v>4</v>
      </c>
      <c r="D70" s="74">
        <v>4</v>
      </c>
      <c r="E70" s="74">
        <v>8</v>
      </c>
      <c r="F70" s="74">
        <v>0</v>
      </c>
      <c r="G70" s="74">
        <v>0</v>
      </c>
      <c r="H70" s="74">
        <v>0</v>
      </c>
      <c r="I70" s="105">
        <v>4</v>
      </c>
      <c r="J70" s="105">
        <v>4</v>
      </c>
      <c r="K70" s="105">
        <v>8</v>
      </c>
      <c r="L70" s="82">
        <v>4</v>
      </c>
      <c r="M70" s="82">
        <v>4</v>
      </c>
      <c r="N70" s="82">
        <v>8</v>
      </c>
      <c r="O70" s="74">
        <v>0</v>
      </c>
      <c r="P70" s="74">
        <v>0</v>
      </c>
      <c r="Q70" s="74">
        <v>0</v>
      </c>
      <c r="R70" s="74">
        <v>0</v>
      </c>
      <c r="S70" s="74">
        <v>0</v>
      </c>
      <c r="T70" s="74">
        <v>0</v>
      </c>
      <c r="U70" s="74">
        <v>0</v>
      </c>
      <c r="V70" s="74">
        <v>0</v>
      </c>
      <c r="W70" s="74">
        <v>0</v>
      </c>
    </row>
    <row r="71" spans="1:23" x14ac:dyDescent="0.25">
      <c r="A71" s="4" t="s">
        <v>100</v>
      </c>
      <c r="B71" s="10" t="s">
        <v>118</v>
      </c>
      <c r="C71" s="75"/>
      <c r="D71" s="75">
        <v>4</v>
      </c>
      <c r="E71" s="75">
        <v>8</v>
      </c>
      <c r="F71" s="75"/>
      <c r="G71" s="75">
        <v>0</v>
      </c>
      <c r="H71" s="75">
        <v>0</v>
      </c>
      <c r="I71" s="107"/>
      <c r="J71" s="107">
        <v>4</v>
      </c>
      <c r="K71" s="107">
        <v>8</v>
      </c>
      <c r="L71" s="84"/>
      <c r="M71" s="84">
        <v>4</v>
      </c>
      <c r="N71" s="84">
        <v>8</v>
      </c>
      <c r="O71" s="75">
        <v>0</v>
      </c>
      <c r="P71" s="75">
        <v>0</v>
      </c>
      <c r="Q71" s="75">
        <v>0</v>
      </c>
      <c r="R71" s="75">
        <v>0</v>
      </c>
      <c r="S71" s="75">
        <v>0</v>
      </c>
      <c r="T71" s="75">
        <v>0</v>
      </c>
      <c r="U71" s="75">
        <v>0</v>
      </c>
      <c r="V71" s="75">
        <v>0</v>
      </c>
      <c r="W71" s="75">
        <v>0</v>
      </c>
    </row>
    <row r="72" spans="1:23" ht="18" customHeight="1" x14ac:dyDescent="0.25">
      <c r="A72" s="4" t="s">
        <v>101</v>
      </c>
      <c r="B72" s="10" t="s">
        <v>114</v>
      </c>
      <c r="C72" s="74">
        <v>8</v>
      </c>
      <c r="D72" s="74">
        <v>8</v>
      </c>
      <c r="E72" s="74">
        <v>8</v>
      </c>
      <c r="F72" s="74">
        <v>0</v>
      </c>
      <c r="G72" s="74">
        <v>0</v>
      </c>
      <c r="H72" s="74">
        <v>0</v>
      </c>
      <c r="I72" s="105">
        <v>8</v>
      </c>
      <c r="J72" s="105">
        <v>8</v>
      </c>
      <c r="K72" s="105">
        <v>8</v>
      </c>
      <c r="L72" s="82">
        <v>8</v>
      </c>
      <c r="M72" s="82">
        <v>8</v>
      </c>
      <c r="N72" s="82">
        <v>8</v>
      </c>
      <c r="O72" s="74">
        <v>0</v>
      </c>
      <c r="P72" s="74">
        <v>0</v>
      </c>
      <c r="Q72" s="74">
        <v>0</v>
      </c>
      <c r="R72" s="74">
        <v>0</v>
      </c>
      <c r="S72" s="74">
        <v>0</v>
      </c>
      <c r="T72" s="74">
        <v>0</v>
      </c>
      <c r="U72" s="74">
        <v>0</v>
      </c>
      <c r="V72" s="74">
        <v>0</v>
      </c>
      <c r="W72" s="74">
        <v>0</v>
      </c>
    </row>
    <row r="73" spans="1:23" x14ac:dyDescent="0.25">
      <c r="A73" s="4" t="s">
        <v>102</v>
      </c>
      <c r="B73" s="10" t="s">
        <v>115</v>
      </c>
      <c r="C73" s="76"/>
      <c r="D73" s="76">
        <v>2</v>
      </c>
      <c r="E73" s="76">
        <v>4</v>
      </c>
      <c r="F73" s="76"/>
      <c r="G73" s="76">
        <v>0</v>
      </c>
      <c r="H73" s="76">
        <v>0</v>
      </c>
      <c r="I73" s="106"/>
      <c r="J73" s="106">
        <v>2</v>
      </c>
      <c r="K73" s="106">
        <v>4</v>
      </c>
      <c r="L73" s="83"/>
      <c r="M73" s="83">
        <v>2</v>
      </c>
      <c r="N73" s="83">
        <v>4</v>
      </c>
      <c r="O73" s="76"/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</row>
    <row r="74" spans="1:23" ht="15.75" customHeight="1" x14ac:dyDescent="0.25">
      <c r="A74" s="4" t="s">
        <v>103</v>
      </c>
      <c r="B74" s="10" t="s">
        <v>116</v>
      </c>
      <c r="C74" s="75"/>
      <c r="D74" s="75">
        <v>8</v>
      </c>
      <c r="E74" s="75">
        <v>4</v>
      </c>
      <c r="F74" s="75"/>
      <c r="G74" s="75">
        <v>0</v>
      </c>
      <c r="H74" s="75">
        <v>0</v>
      </c>
      <c r="I74" s="107"/>
      <c r="J74" s="107">
        <v>8</v>
      </c>
      <c r="K74" s="107">
        <v>4</v>
      </c>
      <c r="L74" s="84"/>
      <c r="M74" s="84">
        <v>8</v>
      </c>
      <c r="N74" s="84">
        <v>4</v>
      </c>
      <c r="O74" s="75"/>
      <c r="P74" s="75">
        <v>0</v>
      </c>
      <c r="Q74" s="75">
        <v>0</v>
      </c>
      <c r="R74" s="75">
        <v>0</v>
      </c>
      <c r="S74" s="75">
        <v>0</v>
      </c>
      <c r="T74" s="75">
        <v>0</v>
      </c>
      <c r="U74" s="75">
        <v>0</v>
      </c>
      <c r="V74" s="75">
        <v>0</v>
      </c>
      <c r="W74" s="75">
        <v>0</v>
      </c>
    </row>
    <row r="75" spans="1:23" x14ac:dyDescent="0.25">
      <c r="A75" s="4" t="s">
        <v>104</v>
      </c>
      <c r="B75" s="10" t="s">
        <v>119</v>
      </c>
      <c r="C75" s="74">
        <v>8</v>
      </c>
      <c r="D75" s="74">
        <v>4</v>
      </c>
      <c r="E75" s="74">
        <v>8</v>
      </c>
      <c r="F75" s="74">
        <v>0</v>
      </c>
      <c r="G75" s="74">
        <v>0</v>
      </c>
      <c r="H75" s="74">
        <v>0</v>
      </c>
      <c r="I75" s="105">
        <v>8</v>
      </c>
      <c r="J75" s="105">
        <v>4</v>
      </c>
      <c r="K75" s="105">
        <v>8</v>
      </c>
      <c r="L75" s="82">
        <v>8</v>
      </c>
      <c r="M75" s="82">
        <v>4</v>
      </c>
      <c r="N75" s="82">
        <v>8</v>
      </c>
      <c r="O75" s="74">
        <v>0</v>
      </c>
      <c r="P75" s="74">
        <v>0</v>
      </c>
      <c r="Q75" s="74">
        <v>0</v>
      </c>
      <c r="R75" s="74">
        <v>0</v>
      </c>
      <c r="S75" s="74">
        <v>0</v>
      </c>
      <c r="T75" s="74">
        <v>0</v>
      </c>
      <c r="U75" s="74">
        <v>0</v>
      </c>
      <c r="V75" s="74">
        <v>0</v>
      </c>
      <c r="W75" s="74">
        <v>0</v>
      </c>
    </row>
    <row r="76" spans="1:23" x14ac:dyDescent="0.25">
      <c r="A76" s="4" t="s">
        <v>105</v>
      </c>
      <c r="B76" s="10" t="s">
        <v>120</v>
      </c>
      <c r="C76" s="75"/>
      <c r="D76" s="75"/>
      <c r="E76" s="75"/>
      <c r="F76" s="75"/>
      <c r="G76" s="75"/>
      <c r="H76" s="75"/>
      <c r="I76" s="107"/>
      <c r="J76" s="107"/>
      <c r="K76" s="107"/>
      <c r="L76" s="84"/>
      <c r="M76" s="84"/>
      <c r="N76" s="84"/>
      <c r="O76" s="75"/>
      <c r="P76" s="75"/>
      <c r="Q76" s="75"/>
      <c r="R76" s="75"/>
      <c r="S76" s="75"/>
      <c r="T76" s="75"/>
      <c r="U76" s="75"/>
      <c r="V76" s="75"/>
      <c r="W76" s="75"/>
    </row>
    <row r="77" spans="1:23" ht="12.75" customHeight="1" x14ac:dyDescent="0.25">
      <c r="A77" s="4" t="s">
        <v>106</v>
      </c>
      <c r="B77" s="10" t="s">
        <v>121</v>
      </c>
      <c r="C77" s="74">
        <v>8</v>
      </c>
      <c r="D77" s="74">
        <v>4</v>
      </c>
      <c r="E77" s="74">
        <v>8</v>
      </c>
      <c r="F77" s="74">
        <v>0</v>
      </c>
      <c r="G77" s="74">
        <v>0</v>
      </c>
      <c r="H77" s="74">
        <v>0</v>
      </c>
      <c r="I77" s="105">
        <v>8</v>
      </c>
      <c r="J77" s="105">
        <v>4</v>
      </c>
      <c r="K77" s="105">
        <v>8</v>
      </c>
      <c r="L77" s="82">
        <v>8</v>
      </c>
      <c r="M77" s="82">
        <v>4</v>
      </c>
      <c r="N77" s="82">
        <v>8</v>
      </c>
      <c r="O77" s="137">
        <v>8</v>
      </c>
      <c r="P77" s="137">
        <v>4</v>
      </c>
      <c r="Q77" s="137">
        <v>8</v>
      </c>
      <c r="R77" s="135">
        <v>8</v>
      </c>
      <c r="S77" s="135">
        <v>4</v>
      </c>
      <c r="T77" s="135">
        <v>8</v>
      </c>
      <c r="U77" s="71">
        <v>0</v>
      </c>
      <c r="V77" s="71">
        <v>0</v>
      </c>
      <c r="W77" s="71">
        <v>0</v>
      </c>
    </row>
    <row r="78" spans="1:23" ht="14.25" customHeight="1" x14ac:dyDescent="0.25">
      <c r="A78" s="4" t="s">
        <v>107</v>
      </c>
      <c r="B78" s="10" t="s">
        <v>122</v>
      </c>
      <c r="C78" s="75"/>
      <c r="D78" s="75"/>
      <c r="E78" s="75"/>
      <c r="F78" s="75"/>
      <c r="G78" s="75"/>
      <c r="H78" s="75"/>
      <c r="I78" s="107"/>
      <c r="J78" s="107"/>
      <c r="K78" s="107"/>
      <c r="L78" s="84"/>
      <c r="M78" s="84"/>
      <c r="N78" s="84"/>
      <c r="O78" s="138"/>
      <c r="P78" s="138"/>
      <c r="Q78" s="138"/>
      <c r="R78" s="136"/>
      <c r="S78" s="136"/>
      <c r="T78" s="136"/>
      <c r="U78" s="73"/>
      <c r="V78" s="73"/>
      <c r="W78" s="73"/>
    </row>
    <row r="79" spans="1:23" x14ac:dyDescent="0.25">
      <c r="A79" s="4" t="s">
        <v>108</v>
      </c>
      <c r="B79" s="10" t="s">
        <v>119</v>
      </c>
      <c r="C79" s="4">
        <v>4</v>
      </c>
      <c r="D79" s="4">
        <v>4</v>
      </c>
      <c r="E79" s="4">
        <v>4</v>
      </c>
      <c r="F79" s="4">
        <v>0</v>
      </c>
      <c r="G79" s="4">
        <v>0</v>
      </c>
      <c r="H79" s="4">
        <v>0</v>
      </c>
      <c r="I79" s="6">
        <v>4</v>
      </c>
      <c r="J79" s="6">
        <v>4</v>
      </c>
      <c r="K79" s="6">
        <v>4</v>
      </c>
      <c r="L79" s="7">
        <v>4</v>
      </c>
      <c r="M79" s="7">
        <v>4</v>
      </c>
      <c r="N79" s="7">
        <v>4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</row>
    <row r="80" spans="1:23" s="28" customFormat="1" x14ac:dyDescent="0.25">
      <c r="A80" s="143" t="s">
        <v>160</v>
      </c>
      <c r="B80" s="144"/>
      <c r="C80" s="20">
        <f t="shared" ref="C80:T80" si="8">C79+C78+C77+C76+C75+C71+C70+C74+C73+C72+C69+C68+C67+C66+C65+C64</f>
        <v>40</v>
      </c>
      <c r="D80" s="20">
        <f t="shared" si="8"/>
        <v>58</v>
      </c>
      <c r="E80" s="20">
        <f t="shared" si="8"/>
        <v>84</v>
      </c>
      <c r="F80" s="34">
        <f t="shared" si="8"/>
        <v>0</v>
      </c>
      <c r="G80" s="34">
        <f t="shared" si="8"/>
        <v>0</v>
      </c>
      <c r="H80" s="34">
        <f t="shared" si="8"/>
        <v>0</v>
      </c>
      <c r="I80" s="35">
        <f t="shared" si="8"/>
        <v>40</v>
      </c>
      <c r="J80" s="35">
        <f t="shared" si="8"/>
        <v>68</v>
      </c>
      <c r="K80" s="35">
        <f t="shared" si="8"/>
        <v>92</v>
      </c>
      <c r="L80" s="36">
        <f t="shared" si="8"/>
        <v>40</v>
      </c>
      <c r="M80" s="36">
        <f t="shared" si="8"/>
        <v>68</v>
      </c>
      <c r="N80" s="36">
        <f t="shared" si="8"/>
        <v>92</v>
      </c>
      <c r="O80" s="37">
        <f t="shared" si="8"/>
        <v>8</v>
      </c>
      <c r="P80" s="37">
        <f t="shared" si="8"/>
        <v>4</v>
      </c>
      <c r="Q80" s="37">
        <f t="shared" si="8"/>
        <v>8</v>
      </c>
      <c r="R80" s="21">
        <f t="shared" si="8"/>
        <v>8</v>
      </c>
      <c r="S80" s="21">
        <f t="shared" si="8"/>
        <v>4</v>
      </c>
      <c r="T80" s="21">
        <f t="shared" si="8"/>
        <v>8</v>
      </c>
      <c r="U80" s="57">
        <f t="shared" ref="U80" si="9">U79+U78+U77+U76+U75+U71+U70+U74+U73+U72+U69+U68+U67+U66+U65+U64</f>
        <v>4</v>
      </c>
      <c r="V80" s="57">
        <f t="shared" ref="V80" si="10">V79+V78+V77+V76+V75+V71+V70+V74+V73+V72+V69+V68+V67+V66+V65+V64</f>
        <v>4</v>
      </c>
      <c r="W80" s="57">
        <f t="shared" ref="W80" si="11">W79+W78+W77+W76+W75+W71+W70+W74+W73+W72+W69+W68+W67+W66+W65+W64</f>
        <v>8</v>
      </c>
    </row>
    <row r="81" spans="1:24" ht="25.5" customHeight="1" x14ac:dyDescent="0.25">
      <c r="A81" s="2">
        <v>5.2</v>
      </c>
      <c r="B81" s="132" t="s">
        <v>19</v>
      </c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4"/>
    </row>
    <row r="82" spans="1:24" x14ac:dyDescent="0.25">
      <c r="A82" s="4" t="s">
        <v>124</v>
      </c>
      <c r="B82" s="10" t="s">
        <v>123</v>
      </c>
      <c r="C82" s="74">
        <v>8</v>
      </c>
      <c r="D82" s="74">
        <v>8</v>
      </c>
      <c r="E82" s="74">
        <v>0</v>
      </c>
      <c r="F82" s="74">
        <v>0</v>
      </c>
      <c r="G82" s="74">
        <v>0</v>
      </c>
      <c r="H82" s="74">
        <v>0</v>
      </c>
      <c r="I82" s="108">
        <v>0</v>
      </c>
      <c r="J82" s="108">
        <v>0</v>
      </c>
      <c r="K82" s="108">
        <v>0</v>
      </c>
      <c r="L82" s="82">
        <v>8</v>
      </c>
      <c r="M82" s="82">
        <v>8</v>
      </c>
      <c r="N82" s="71">
        <v>0</v>
      </c>
      <c r="O82" s="137">
        <v>8</v>
      </c>
      <c r="P82" s="137">
        <v>8</v>
      </c>
      <c r="Q82" s="137">
        <v>0</v>
      </c>
      <c r="R82" s="135">
        <v>8</v>
      </c>
      <c r="S82" s="135">
        <v>8</v>
      </c>
      <c r="T82" s="135">
        <v>0</v>
      </c>
      <c r="U82" s="74">
        <v>0</v>
      </c>
      <c r="V82" s="74">
        <v>0</v>
      </c>
      <c r="W82" s="74">
        <v>0</v>
      </c>
    </row>
    <row r="83" spans="1:24" x14ac:dyDescent="0.25">
      <c r="A83" s="4" t="s">
        <v>127</v>
      </c>
      <c r="B83" s="10" t="s">
        <v>132</v>
      </c>
      <c r="C83" s="76"/>
      <c r="D83" s="76"/>
      <c r="E83" s="76"/>
      <c r="F83" s="76"/>
      <c r="G83" s="76"/>
      <c r="H83" s="76"/>
      <c r="I83" s="109"/>
      <c r="J83" s="109"/>
      <c r="K83" s="109"/>
      <c r="L83" s="83"/>
      <c r="M83" s="83"/>
      <c r="N83" s="72"/>
      <c r="O83" s="140"/>
      <c r="P83" s="140"/>
      <c r="Q83" s="140"/>
      <c r="R83" s="139"/>
      <c r="S83" s="139"/>
      <c r="T83" s="139"/>
      <c r="U83" s="76"/>
      <c r="V83" s="76"/>
      <c r="W83" s="76"/>
    </row>
    <row r="84" spans="1:24" x14ac:dyDescent="0.25">
      <c r="A84" s="4" t="s">
        <v>128</v>
      </c>
      <c r="B84" s="10" t="s">
        <v>133</v>
      </c>
      <c r="C84" s="75"/>
      <c r="D84" s="75"/>
      <c r="E84" s="75"/>
      <c r="F84" s="75"/>
      <c r="G84" s="75"/>
      <c r="H84" s="75"/>
      <c r="I84" s="110"/>
      <c r="J84" s="110"/>
      <c r="K84" s="110"/>
      <c r="L84" s="84"/>
      <c r="M84" s="84"/>
      <c r="N84" s="73"/>
      <c r="O84" s="138"/>
      <c r="P84" s="138"/>
      <c r="Q84" s="138"/>
      <c r="R84" s="136"/>
      <c r="S84" s="136"/>
      <c r="T84" s="136"/>
      <c r="U84" s="75"/>
      <c r="V84" s="75"/>
      <c r="W84" s="75"/>
    </row>
    <row r="85" spans="1:24" x14ac:dyDescent="0.25">
      <c r="A85" s="4" t="s">
        <v>125</v>
      </c>
      <c r="B85" s="10" t="s">
        <v>134</v>
      </c>
      <c r="C85" s="4">
        <v>8</v>
      </c>
      <c r="D85" s="4">
        <v>8</v>
      </c>
      <c r="E85" s="4">
        <v>16</v>
      </c>
      <c r="F85" s="4">
        <v>0</v>
      </c>
      <c r="G85" s="4">
        <v>0</v>
      </c>
      <c r="H85" s="4">
        <v>0</v>
      </c>
      <c r="I85" s="6">
        <v>8</v>
      </c>
      <c r="J85" s="6">
        <v>8</v>
      </c>
      <c r="K85" s="6">
        <v>16</v>
      </c>
      <c r="L85" s="7">
        <v>8</v>
      </c>
      <c r="M85" s="7">
        <v>8</v>
      </c>
      <c r="N85" s="7">
        <v>16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</row>
    <row r="86" spans="1:24" x14ac:dyDescent="0.25">
      <c r="A86" s="4" t="s">
        <v>129</v>
      </c>
      <c r="B86" s="10" t="s">
        <v>135</v>
      </c>
      <c r="C86" s="74">
        <v>8</v>
      </c>
      <c r="D86" s="74">
        <v>8</v>
      </c>
      <c r="E86" s="74">
        <v>8</v>
      </c>
      <c r="F86" s="74">
        <v>0</v>
      </c>
      <c r="G86" s="74">
        <v>1</v>
      </c>
      <c r="H86" s="74">
        <v>2</v>
      </c>
      <c r="I86" s="108">
        <v>0</v>
      </c>
      <c r="J86" s="108">
        <v>0</v>
      </c>
      <c r="K86" s="108">
        <v>0</v>
      </c>
      <c r="L86" s="82">
        <v>8</v>
      </c>
      <c r="M86" s="82">
        <v>8</v>
      </c>
      <c r="N86" s="82">
        <v>8</v>
      </c>
      <c r="O86" s="74">
        <v>0</v>
      </c>
      <c r="P86" s="74">
        <v>0</v>
      </c>
      <c r="Q86" s="74">
        <v>0</v>
      </c>
      <c r="R86" s="74">
        <v>0</v>
      </c>
      <c r="S86" s="74">
        <v>0</v>
      </c>
      <c r="T86" s="74">
        <v>0</v>
      </c>
      <c r="U86" s="74">
        <v>0</v>
      </c>
      <c r="V86" s="74">
        <v>0</v>
      </c>
      <c r="W86" s="74">
        <v>0</v>
      </c>
    </row>
    <row r="87" spans="1:24" x14ac:dyDescent="0.25">
      <c r="A87" s="4" t="s">
        <v>130</v>
      </c>
      <c r="B87" s="10" t="s">
        <v>136</v>
      </c>
      <c r="C87" s="76"/>
      <c r="D87" s="76"/>
      <c r="E87" s="76"/>
      <c r="F87" s="76"/>
      <c r="G87" s="76"/>
      <c r="H87" s="76"/>
      <c r="I87" s="109"/>
      <c r="J87" s="109"/>
      <c r="K87" s="109"/>
      <c r="L87" s="83"/>
      <c r="M87" s="83"/>
      <c r="N87" s="83"/>
      <c r="O87" s="76"/>
      <c r="P87" s="76"/>
      <c r="Q87" s="76"/>
      <c r="R87" s="76"/>
      <c r="S87" s="76"/>
      <c r="T87" s="76"/>
      <c r="U87" s="76"/>
      <c r="V87" s="76"/>
      <c r="W87" s="76"/>
    </row>
    <row r="88" spans="1:24" x14ac:dyDescent="0.25">
      <c r="A88" s="4" t="s">
        <v>126</v>
      </c>
      <c r="B88" s="10" t="s">
        <v>137</v>
      </c>
      <c r="C88" s="75"/>
      <c r="D88" s="75"/>
      <c r="E88" s="75"/>
      <c r="F88" s="75"/>
      <c r="G88" s="75"/>
      <c r="H88" s="75"/>
      <c r="I88" s="110"/>
      <c r="J88" s="110"/>
      <c r="K88" s="110"/>
      <c r="L88" s="84"/>
      <c r="M88" s="84"/>
      <c r="N88" s="84"/>
      <c r="O88" s="75"/>
      <c r="P88" s="75"/>
      <c r="Q88" s="75"/>
      <c r="R88" s="75"/>
      <c r="S88" s="75"/>
      <c r="T88" s="75"/>
      <c r="U88" s="75"/>
      <c r="V88" s="75"/>
      <c r="W88" s="75"/>
    </row>
    <row r="89" spans="1:24" x14ac:dyDescent="0.25">
      <c r="A89" s="4" t="s">
        <v>131</v>
      </c>
      <c r="B89" s="10" t="s">
        <v>119</v>
      </c>
      <c r="C89" s="4">
        <v>4</v>
      </c>
      <c r="D89" s="4">
        <v>8</v>
      </c>
      <c r="E89" s="4">
        <v>8</v>
      </c>
      <c r="F89" s="4">
        <v>0</v>
      </c>
      <c r="G89" s="4">
        <v>0</v>
      </c>
      <c r="H89" s="4">
        <v>0</v>
      </c>
      <c r="I89" s="13">
        <v>0</v>
      </c>
      <c r="J89" s="13">
        <v>0</v>
      </c>
      <c r="K89" s="13">
        <v>0</v>
      </c>
      <c r="L89" s="7">
        <v>4</v>
      </c>
      <c r="M89" s="7">
        <v>4</v>
      </c>
      <c r="N89" s="7">
        <v>4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</row>
    <row r="90" spans="1:24" s="28" customFormat="1" x14ac:dyDescent="0.25">
      <c r="A90" s="143" t="s">
        <v>160</v>
      </c>
      <c r="B90" s="144"/>
      <c r="C90" s="20">
        <f t="shared" ref="C90:T90" si="12">SUM(C82:C89)</f>
        <v>28</v>
      </c>
      <c r="D90" s="20">
        <f t="shared" si="12"/>
        <v>32</v>
      </c>
      <c r="E90" s="20">
        <f t="shared" si="12"/>
        <v>32</v>
      </c>
      <c r="F90" s="34">
        <f t="shared" si="12"/>
        <v>0</v>
      </c>
      <c r="G90" s="34">
        <f t="shared" si="12"/>
        <v>1</v>
      </c>
      <c r="H90" s="34">
        <f t="shared" si="12"/>
        <v>2</v>
      </c>
      <c r="I90" s="35">
        <f t="shared" si="12"/>
        <v>8</v>
      </c>
      <c r="J90" s="35">
        <f t="shared" si="12"/>
        <v>8</v>
      </c>
      <c r="K90" s="35">
        <f t="shared" si="12"/>
        <v>16</v>
      </c>
      <c r="L90" s="36">
        <f t="shared" si="12"/>
        <v>28</v>
      </c>
      <c r="M90" s="36">
        <f t="shared" si="12"/>
        <v>28</v>
      </c>
      <c r="N90" s="36">
        <f t="shared" si="12"/>
        <v>28</v>
      </c>
      <c r="O90" s="37">
        <f t="shared" si="12"/>
        <v>8</v>
      </c>
      <c r="P90" s="37">
        <f t="shared" si="12"/>
        <v>8</v>
      </c>
      <c r="Q90" s="37">
        <f t="shared" si="12"/>
        <v>0</v>
      </c>
      <c r="R90" s="21">
        <f t="shared" si="12"/>
        <v>8</v>
      </c>
      <c r="S90" s="21">
        <f t="shared" si="12"/>
        <v>8</v>
      </c>
      <c r="T90" s="21">
        <f t="shared" si="12"/>
        <v>0</v>
      </c>
      <c r="U90" s="57">
        <f t="shared" ref="U90" si="13">SUM(U82:U89)</f>
        <v>0</v>
      </c>
      <c r="V90" s="57">
        <f t="shared" ref="V90" si="14">SUM(V82:V89)</f>
        <v>0</v>
      </c>
      <c r="W90" s="57">
        <f t="shared" ref="W90" si="15">SUM(W82:W89)</f>
        <v>0</v>
      </c>
    </row>
    <row r="91" spans="1:24" s="28" customFormat="1" ht="25.5" customHeight="1" x14ac:dyDescent="0.25">
      <c r="A91" s="2">
        <v>6</v>
      </c>
      <c r="B91" s="132" t="s">
        <v>20</v>
      </c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4"/>
    </row>
    <row r="92" spans="1:24" ht="25.5" customHeight="1" x14ac:dyDescent="0.25">
      <c r="A92" s="2">
        <v>6.1</v>
      </c>
      <c r="B92" s="132" t="s">
        <v>21</v>
      </c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4"/>
    </row>
    <row r="93" spans="1:24" x14ac:dyDescent="0.25">
      <c r="A93" s="4" t="s">
        <v>138</v>
      </c>
      <c r="B93" s="10" t="s">
        <v>147</v>
      </c>
      <c r="C93" s="74">
        <v>4</v>
      </c>
      <c r="D93" s="74">
        <v>4</v>
      </c>
      <c r="E93" s="74">
        <v>4</v>
      </c>
      <c r="F93" s="74">
        <v>0</v>
      </c>
      <c r="G93" s="74">
        <v>0</v>
      </c>
      <c r="H93" s="74">
        <v>0</v>
      </c>
      <c r="I93" s="74">
        <v>0</v>
      </c>
      <c r="J93" s="74">
        <v>0</v>
      </c>
      <c r="K93" s="74">
        <v>0</v>
      </c>
      <c r="L93" s="74">
        <v>0</v>
      </c>
      <c r="M93" s="74">
        <v>0</v>
      </c>
      <c r="N93" s="74">
        <v>0</v>
      </c>
      <c r="O93" s="145">
        <v>4</v>
      </c>
      <c r="P93" s="85">
        <v>4</v>
      </c>
      <c r="Q93" s="85">
        <v>4</v>
      </c>
      <c r="R93" s="114">
        <v>4</v>
      </c>
      <c r="S93" s="114">
        <v>4</v>
      </c>
      <c r="T93" s="114">
        <v>4</v>
      </c>
      <c r="U93" s="71">
        <v>0</v>
      </c>
      <c r="V93" s="71">
        <v>0</v>
      </c>
      <c r="W93" s="71">
        <v>0</v>
      </c>
      <c r="X93" s="47"/>
    </row>
    <row r="94" spans="1:24" x14ac:dyDescent="0.25">
      <c r="A94" s="4" t="s">
        <v>139</v>
      </c>
      <c r="B94" s="10" t="s">
        <v>148</v>
      </c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146"/>
      <c r="P94" s="86">
        <v>0</v>
      </c>
      <c r="Q94" s="86">
        <v>0</v>
      </c>
      <c r="R94" s="115"/>
      <c r="S94" s="115">
        <v>0</v>
      </c>
      <c r="T94" s="115">
        <v>8</v>
      </c>
      <c r="U94" s="72"/>
      <c r="V94" s="72"/>
      <c r="W94" s="72"/>
      <c r="X94" s="47"/>
    </row>
    <row r="95" spans="1:24" x14ac:dyDescent="0.25">
      <c r="A95" s="4" t="s">
        <v>140</v>
      </c>
      <c r="B95" s="10" t="s">
        <v>149</v>
      </c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147"/>
      <c r="P95" s="87">
        <v>0</v>
      </c>
      <c r="Q95" s="87">
        <v>0</v>
      </c>
      <c r="R95" s="116"/>
      <c r="S95" s="116">
        <v>0</v>
      </c>
      <c r="T95" s="116">
        <v>8</v>
      </c>
      <c r="U95" s="73"/>
      <c r="V95" s="73"/>
      <c r="W95" s="73"/>
      <c r="X95" s="47"/>
    </row>
    <row r="96" spans="1:24" x14ac:dyDescent="0.25">
      <c r="A96" s="4" t="s">
        <v>141</v>
      </c>
      <c r="B96" s="10" t="s">
        <v>150</v>
      </c>
      <c r="C96" s="74">
        <v>4</v>
      </c>
      <c r="D96" s="74">
        <v>4</v>
      </c>
      <c r="E96" s="74">
        <v>4</v>
      </c>
      <c r="F96" s="74">
        <v>0</v>
      </c>
      <c r="G96" s="74">
        <v>0</v>
      </c>
      <c r="H96" s="74">
        <v>0</v>
      </c>
      <c r="I96" s="74">
        <v>0</v>
      </c>
      <c r="J96" s="74">
        <v>0</v>
      </c>
      <c r="K96" s="74">
        <v>0</v>
      </c>
      <c r="L96" s="74">
        <v>0</v>
      </c>
      <c r="M96" s="74">
        <v>0</v>
      </c>
      <c r="N96" s="74">
        <v>0</v>
      </c>
      <c r="O96" s="137">
        <v>4</v>
      </c>
      <c r="P96" s="137">
        <v>4</v>
      </c>
      <c r="Q96" s="137">
        <v>4</v>
      </c>
      <c r="R96" s="135">
        <v>4</v>
      </c>
      <c r="S96" s="135">
        <v>4</v>
      </c>
      <c r="T96" s="135">
        <v>4</v>
      </c>
      <c r="U96" s="74">
        <v>0</v>
      </c>
      <c r="V96" s="74">
        <v>0</v>
      </c>
      <c r="W96" s="74">
        <v>0</v>
      </c>
    </row>
    <row r="97" spans="1:23" x14ac:dyDescent="0.25">
      <c r="A97" s="4" t="s">
        <v>142</v>
      </c>
      <c r="B97" s="10" t="s">
        <v>151</v>
      </c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138"/>
      <c r="P97" s="138"/>
      <c r="Q97" s="138"/>
      <c r="R97" s="136"/>
      <c r="S97" s="136"/>
      <c r="T97" s="136"/>
      <c r="U97" s="75"/>
      <c r="V97" s="75"/>
      <c r="W97" s="75"/>
    </row>
    <row r="98" spans="1:23" x14ac:dyDescent="0.25">
      <c r="A98" s="4" t="s">
        <v>143</v>
      </c>
      <c r="B98" s="10" t="s">
        <v>152</v>
      </c>
      <c r="C98" s="74">
        <v>4</v>
      </c>
      <c r="D98" s="74">
        <v>8</v>
      </c>
      <c r="E98" s="74">
        <v>8</v>
      </c>
      <c r="F98" s="74">
        <v>0</v>
      </c>
      <c r="G98" s="74">
        <v>0</v>
      </c>
      <c r="H98" s="74">
        <v>0</v>
      </c>
      <c r="I98" s="74">
        <v>0</v>
      </c>
      <c r="J98" s="74">
        <v>0</v>
      </c>
      <c r="K98" s="74">
        <v>0</v>
      </c>
      <c r="L98" s="74">
        <v>0</v>
      </c>
      <c r="M98" s="74">
        <v>0</v>
      </c>
      <c r="N98" s="74">
        <v>0</v>
      </c>
      <c r="O98" s="137">
        <v>4</v>
      </c>
      <c r="P98" s="137">
        <v>8</v>
      </c>
      <c r="Q98" s="137">
        <v>8</v>
      </c>
      <c r="R98" s="135">
        <v>4</v>
      </c>
      <c r="S98" s="135">
        <v>8</v>
      </c>
      <c r="T98" s="135">
        <v>8</v>
      </c>
      <c r="U98" s="74">
        <v>0</v>
      </c>
      <c r="V98" s="74">
        <v>0</v>
      </c>
      <c r="W98" s="74">
        <v>0</v>
      </c>
    </row>
    <row r="99" spans="1:23" x14ac:dyDescent="0.25">
      <c r="A99" s="4" t="s">
        <v>144</v>
      </c>
      <c r="B99" s="10" t="s">
        <v>153</v>
      </c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138"/>
      <c r="P99" s="138"/>
      <c r="Q99" s="138"/>
      <c r="R99" s="136"/>
      <c r="S99" s="136"/>
      <c r="T99" s="136"/>
      <c r="U99" s="75"/>
      <c r="V99" s="75"/>
      <c r="W99" s="75"/>
    </row>
    <row r="100" spans="1:23" x14ac:dyDescent="0.25">
      <c r="A100" s="4" t="s">
        <v>145</v>
      </c>
      <c r="B100" s="10" t="s">
        <v>154</v>
      </c>
      <c r="C100" s="74">
        <v>4</v>
      </c>
      <c r="D100" s="74">
        <v>0</v>
      </c>
      <c r="E100" s="74">
        <v>4</v>
      </c>
      <c r="F100" s="74">
        <v>0</v>
      </c>
      <c r="G100" s="74">
        <v>0</v>
      </c>
      <c r="H100" s="74">
        <v>0</v>
      </c>
      <c r="I100" s="74">
        <v>0</v>
      </c>
      <c r="J100" s="74">
        <v>0</v>
      </c>
      <c r="K100" s="74">
        <v>0</v>
      </c>
      <c r="L100" s="74">
        <v>0</v>
      </c>
      <c r="M100" s="74">
        <v>0</v>
      </c>
      <c r="N100" s="74">
        <v>0</v>
      </c>
      <c r="O100" s="74">
        <v>0</v>
      </c>
      <c r="P100" s="74">
        <v>0</v>
      </c>
      <c r="Q100" s="74">
        <v>0</v>
      </c>
      <c r="R100" s="135">
        <v>4</v>
      </c>
      <c r="S100" s="135">
        <v>0</v>
      </c>
      <c r="T100" s="135">
        <v>4</v>
      </c>
      <c r="U100" s="74">
        <v>0</v>
      </c>
      <c r="V100" s="74">
        <v>0</v>
      </c>
      <c r="W100" s="74">
        <v>0</v>
      </c>
    </row>
    <row r="101" spans="1:23" x14ac:dyDescent="0.25">
      <c r="A101" s="4" t="s">
        <v>146</v>
      </c>
      <c r="B101" s="10" t="s">
        <v>137</v>
      </c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136"/>
      <c r="S101" s="136"/>
      <c r="T101" s="136"/>
      <c r="U101" s="75"/>
      <c r="V101" s="75"/>
      <c r="W101" s="75"/>
    </row>
    <row r="102" spans="1:23" s="28" customFormat="1" ht="18.75" customHeight="1" x14ac:dyDescent="0.25">
      <c r="A102" s="143" t="s">
        <v>160</v>
      </c>
      <c r="B102" s="144"/>
      <c r="C102" s="22">
        <f>SUM(C93:C101)</f>
        <v>16</v>
      </c>
      <c r="D102" s="22">
        <f t="shared" ref="D102:W102" si="16">SUM(D93:D101)</f>
        <v>16</v>
      </c>
      <c r="E102" s="22">
        <f t="shared" si="16"/>
        <v>20</v>
      </c>
      <c r="F102" s="23">
        <f t="shared" si="16"/>
        <v>0</v>
      </c>
      <c r="G102" s="23">
        <f t="shared" si="16"/>
        <v>0</v>
      </c>
      <c r="H102" s="23">
        <f t="shared" si="16"/>
        <v>0</v>
      </c>
      <c r="I102" s="24">
        <f t="shared" si="16"/>
        <v>0</v>
      </c>
      <c r="J102" s="24">
        <f t="shared" si="16"/>
        <v>0</v>
      </c>
      <c r="K102" s="24">
        <f t="shared" si="16"/>
        <v>0</v>
      </c>
      <c r="L102" s="25">
        <f t="shared" si="16"/>
        <v>0</v>
      </c>
      <c r="M102" s="25">
        <f t="shared" si="16"/>
        <v>0</v>
      </c>
      <c r="N102" s="25">
        <f t="shared" si="16"/>
        <v>0</v>
      </c>
      <c r="O102" s="26">
        <f t="shared" si="16"/>
        <v>12</v>
      </c>
      <c r="P102" s="26">
        <f t="shared" si="16"/>
        <v>16</v>
      </c>
      <c r="Q102" s="26">
        <f t="shared" si="16"/>
        <v>16</v>
      </c>
      <c r="R102" s="38">
        <f t="shared" si="16"/>
        <v>16</v>
      </c>
      <c r="S102" s="38">
        <f t="shared" si="16"/>
        <v>16</v>
      </c>
      <c r="T102" s="38">
        <f t="shared" si="16"/>
        <v>36</v>
      </c>
      <c r="U102" s="58">
        <f t="shared" si="16"/>
        <v>0</v>
      </c>
      <c r="V102" s="58">
        <f t="shared" si="16"/>
        <v>0</v>
      </c>
      <c r="W102" s="58">
        <f t="shared" si="16"/>
        <v>0</v>
      </c>
    </row>
    <row r="103" spans="1:23" x14ac:dyDescent="0.25">
      <c r="A103" s="2">
        <v>6.2</v>
      </c>
      <c r="B103" s="132" t="s">
        <v>22</v>
      </c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4"/>
    </row>
    <row r="104" spans="1:23" x14ac:dyDescent="0.25">
      <c r="A104" s="4" t="s">
        <v>163</v>
      </c>
      <c r="B104" s="10" t="s">
        <v>123</v>
      </c>
      <c r="C104" s="74">
        <v>8</v>
      </c>
      <c r="D104" s="74">
        <v>8</v>
      </c>
      <c r="E104" s="74">
        <v>24</v>
      </c>
      <c r="F104" s="74">
        <v>0</v>
      </c>
      <c r="G104" s="74">
        <v>0</v>
      </c>
      <c r="H104" s="74">
        <v>0</v>
      </c>
      <c r="I104" s="74">
        <v>0</v>
      </c>
      <c r="J104" s="74">
        <v>0</v>
      </c>
      <c r="K104" s="74">
        <v>0</v>
      </c>
      <c r="L104" s="74">
        <v>0</v>
      </c>
      <c r="M104" s="74">
        <v>0</v>
      </c>
      <c r="N104" s="74">
        <v>0</v>
      </c>
      <c r="O104" s="137">
        <v>8</v>
      </c>
      <c r="P104" s="137">
        <v>8</v>
      </c>
      <c r="Q104" s="137">
        <v>24</v>
      </c>
      <c r="R104" s="135">
        <v>8</v>
      </c>
      <c r="S104" s="135">
        <v>8</v>
      </c>
      <c r="T104" s="135">
        <v>24</v>
      </c>
      <c r="U104" s="71">
        <v>0</v>
      </c>
      <c r="V104" s="71">
        <v>0</v>
      </c>
      <c r="W104" s="71">
        <v>0</v>
      </c>
    </row>
    <row r="105" spans="1:23" x14ac:dyDescent="0.25">
      <c r="A105" s="4" t="s">
        <v>164</v>
      </c>
      <c r="B105" s="10" t="s">
        <v>132</v>
      </c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140"/>
      <c r="P105" s="140"/>
      <c r="Q105" s="140"/>
      <c r="R105" s="139"/>
      <c r="S105" s="139"/>
      <c r="T105" s="139"/>
      <c r="U105" s="72"/>
      <c r="V105" s="72"/>
      <c r="W105" s="72"/>
    </row>
    <row r="106" spans="1:23" x14ac:dyDescent="0.25">
      <c r="A106" s="4" t="s">
        <v>165</v>
      </c>
      <c r="B106" s="10" t="s">
        <v>133</v>
      </c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138"/>
      <c r="P106" s="138"/>
      <c r="Q106" s="138"/>
      <c r="R106" s="136"/>
      <c r="S106" s="136"/>
      <c r="T106" s="136"/>
      <c r="U106" s="73"/>
      <c r="V106" s="73"/>
      <c r="W106" s="73"/>
    </row>
    <row r="107" spans="1:23" x14ac:dyDescent="0.25">
      <c r="A107" s="4" t="s">
        <v>166</v>
      </c>
      <c r="B107" s="10" t="s">
        <v>134</v>
      </c>
      <c r="C107" s="74">
        <v>8</v>
      </c>
      <c r="D107" s="74">
        <v>8</v>
      </c>
      <c r="E107" s="74">
        <v>16</v>
      </c>
      <c r="F107" s="74">
        <v>0</v>
      </c>
      <c r="G107" s="74">
        <v>0</v>
      </c>
      <c r="H107" s="74">
        <v>0</v>
      </c>
      <c r="I107" s="74">
        <v>0</v>
      </c>
      <c r="J107" s="74">
        <v>0</v>
      </c>
      <c r="K107" s="74">
        <v>0</v>
      </c>
      <c r="L107" s="74">
        <v>0</v>
      </c>
      <c r="M107" s="74">
        <v>0</v>
      </c>
      <c r="N107" s="74">
        <v>0</v>
      </c>
      <c r="O107" s="137">
        <v>8</v>
      </c>
      <c r="P107" s="137">
        <v>8</v>
      </c>
      <c r="Q107" s="137">
        <v>16</v>
      </c>
      <c r="R107" s="135">
        <v>8</v>
      </c>
      <c r="S107" s="135">
        <v>8</v>
      </c>
      <c r="T107" s="135">
        <v>16</v>
      </c>
      <c r="U107" s="71">
        <v>0</v>
      </c>
      <c r="V107" s="71">
        <v>0</v>
      </c>
      <c r="W107" s="71">
        <v>0</v>
      </c>
    </row>
    <row r="108" spans="1:23" x14ac:dyDescent="0.25">
      <c r="A108" s="4" t="s">
        <v>167</v>
      </c>
      <c r="B108" s="10" t="s">
        <v>135</v>
      </c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138"/>
      <c r="P108" s="138"/>
      <c r="Q108" s="138"/>
      <c r="R108" s="136"/>
      <c r="S108" s="136"/>
      <c r="T108" s="136"/>
      <c r="U108" s="73"/>
      <c r="V108" s="73"/>
      <c r="W108" s="73"/>
    </row>
    <row r="109" spans="1:23" x14ac:dyDescent="0.25">
      <c r="A109" s="4" t="s">
        <v>168</v>
      </c>
      <c r="B109" s="10" t="s">
        <v>136</v>
      </c>
      <c r="C109" s="74">
        <v>4</v>
      </c>
      <c r="D109" s="74">
        <v>4</v>
      </c>
      <c r="E109" s="74">
        <v>8</v>
      </c>
      <c r="F109" s="74">
        <v>0</v>
      </c>
      <c r="G109" s="74">
        <v>0</v>
      </c>
      <c r="H109" s="74">
        <v>0</v>
      </c>
      <c r="I109" s="74">
        <v>0</v>
      </c>
      <c r="J109" s="74">
        <v>0</v>
      </c>
      <c r="K109" s="74">
        <v>0</v>
      </c>
      <c r="L109" s="74">
        <v>0</v>
      </c>
      <c r="M109" s="74">
        <v>0</v>
      </c>
      <c r="N109" s="74">
        <v>0</v>
      </c>
      <c r="O109" s="137">
        <v>4</v>
      </c>
      <c r="P109" s="137">
        <v>4</v>
      </c>
      <c r="Q109" s="137">
        <v>8</v>
      </c>
      <c r="R109" s="135">
        <v>4</v>
      </c>
      <c r="S109" s="135">
        <v>4</v>
      </c>
      <c r="T109" s="135">
        <v>8</v>
      </c>
      <c r="U109" s="71">
        <v>0</v>
      </c>
      <c r="V109" s="71">
        <v>0</v>
      </c>
      <c r="W109" s="71">
        <v>0</v>
      </c>
    </row>
    <row r="110" spans="1:23" x14ac:dyDescent="0.25">
      <c r="A110" s="4" t="s">
        <v>169</v>
      </c>
      <c r="B110" s="10" t="s">
        <v>155</v>
      </c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140"/>
      <c r="P110" s="140"/>
      <c r="Q110" s="140"/>
      <c r="R110" s="139"/>
      <c r="S110" s="139"/>
      <c r="T110" s="139"/>
      <c r="U110" s="72"/>
      <c r="V110" s="72"/>
      <c r="W110" s="72"/>
    </row>
    <row r="111" spans="1:23" x14ac:dyDescent="0.25">
      <c r="A111" s="4" t="s">
        <v>170</v>
      </c>
      <c r="B111" s="10" t="s">
        <v>156</v>
      </c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138"/>
      <c r="P111" s="138"/>
      <c r="Q111" s="138"/>
      <c r="R111" s="136"/>
      <c r="S111" s="136"/>
      <c r="T111" s="136"/>
      <c r="U111" s="73"/>
      <c r="V111" s="73"/>
      <c r="W111" s="73"/>
    </row>
    <row r="112" spans="1:23" x14ac:dyDescent="0.25">
      <c r="A112" s="4" t="s">
        <v>171</v>
      </c>
      <c r="B112" s="10" t="s">
        <v>157</v>
      </c>
      <c r="C112" s="74">
        <v>4</v>
      </c>
      <c r="D112" s="74">
        <v>4</v>
      </c>
      <c r="E112" s="74">
        <v>4</v>
      </c>
      <c r="F112" s="141">
        <v>4</v>
      </c>
      <c r="G112" s="141">
        <v>4</v>
      </c>
      <c r="H112" s="141">
        <v>4</v>
      </c>
      <c r="I112" s="151">
        <v>4</v>
      </c>
      <c r="J112" s="151">
        <v>4</v>
      </c>
      <c r="K112" s="151">
        <v>4</v>
      </c>
      <c r="L112" s="153">
        <v>4</v>
      </c>
      <c r="M112" s="153">
        <v>4</v>
      </c>
      <c r="N112" s="153">
        <v>4</v>
      </c>
      <c r="O112" s="137">
        <v>4</v>
      </c>
      <c r="P112" s="137">
        <v>4</v>
      </c>
      <c r="Q112" s="137">
        <v>4</v>
      </c>
      <c r="R112" s="135">
        <v>4</v>
      </c>
      <c r="S112" s="135">
        <v>4</v>
      </c>
      <c r="T112" s="135">
        <v>4</v>
      </c>
      <c r="U112" s="66">
        <v>4</v>
      </c>
      <c r="V112" s="66">
        <v>4</v>
      </c>
      <c r="W112" s="66">
        <v>4</v>
      </c>
    </row>
    <row r="113" spans="1:23" x14ac:dyDescent="0.25">
      <c r="A113" s="4" t="s">
        <v>172</v>
      </c>
      <c r="B113" s="10" t="s">
        <v>158</v>
      </c>
      <c r="C113" s="75"/>
      <c r="D113" s="75">
        <v>4</v>
      </c>
      <c r="E113" s="75">
        <v>4</v>
      </c>
      <c r="F113" s="142">
        <v>4</v>
      </c>
      <c r="G113" s="142">
        <v>4</v>
      </c>
      <c r="H113" s="142">
        <v>4</v>
      </c>
      <c r="I113" s="152">
        <v>4</v>
      </c>
      <c r="J113" s="152">
        <v>4</v>
      </c>
      <c r="K113" s="152">
        <v>4</v>
      </c>
      <c r="L113" s="154">
        <v>4</v>
      </c>
      <c r="M113" s="154">
        <v>4</v>
      </c>
      <c r="N113" s="154">
        <v>4</v>
      </c>
      <c r="O113" s="138">
        <v>4</v>
      </c>
      <c r="P113" s="138">
        <v>4</v>
      </c>
      <c r="Q113" s="138">
        <v>4</v>
      </c>
      <c r="R113" s="136">
        <v>4</v>
      </c>
      <c r="S113" s="136">
        <v>4</v>
      </c>
      <c r="T113" s="136">
        <v>4</v>
      </c>
      <c r="U113" s="67"/>
      <c r="V113" s="67"/>
      <c r="W113" s="67"/>
    </row>
    <row r="114" spans="1:23" s="28" customFormat="1" ht="24" customHeight="1" x14ac:dyDescent="0.25">
      <c r="A114" s="143" t="s">
        <v>160</v>
      </c>
      <c r="B114" s="144"/>
      <c r="C114" s="39">
        <f>C112+C109+C107+C104</f>
        <v>24</v>
      </c>
      <c r="D114" s="39">
        <f t="shared" ref="D114:W114" si="17">D112+D109+D107+D104</f>
        <v>24</v>
      </c>
      <c r="E114" s="39">
        <f t="shared" si="17"/>
        <v>52</v>
      </c>
      <c r="F114" s="40">
        <f t="shared" si="17"/>
        <v>4</v>
      </c>
      <c r="G114" s="40">
        <f t="shared" si="17"/>
        <v>4</v>
      </c>
      <c r="H114" s="40">
        <f t="shared" si="17"/>
        <v>4</v>
      </c>
      <c r="I114" s="41">
        <f t="shared" si="17"/>
        <v>4</v>
      </c>
      <c r="J114" s="41">
        <f t="shared" si="17"/>
        <v>4</v>
      </c>
      <c r="K114" s="41">
        <f t="shared" si="17"/>
        <v>4</v>
      </c>
      <c r="L114" s="42">
        <f t="shared" si="17"/>
        <v>4</v>
      </c>
      <c r="M114" s="42">
        <f t="shared" si="17"/>
        <v>4</v>
      </c>
      <c r="N114" s="42">
        <f t="shared" si="17"/>
        <v>4</v>
      </c>
      <c r="O114" s="43">
        <f t="shared" si="17"/>
        <v>24</v>
      </c>
      <c r="P114" s="43">
        <f t="shared" si="17"/>
        <v>24</v>
      </c>
      <c r="Q114" s="43">
        <f t="shared" si="17"/>
        <v>52</v>
      </c>
      <c r="R114" s="44">
        <f t="shared" si="17"/>
        <v>24</v>
      </c>
      <c r="S114" s="44">
        <f t="shared" si="17"/>
        <v>24</v>
      </c>
      <c r="T114" s="44">
        <f t="shared" si="17"/>
        <v>52</v>
      </c>
      <c r="U114" s="59">
        <f t="shared" si="17"/>
        <v>4</v>
      </c>
      <c r="V114" s="59">
        <f t="shared" si="17"/>
        <v>4</v>
      </c>
      <c r="W114" s="59">
        <f t="shared" si="17"/>
        <v>4</v>
      </c>
    </row>
    <row r="115" spans="1:23" s="28" customFormat="1" ht="24" customHeight="1" x14ac:dyDescent="0.25"/>
    <row r="116" spans="1:23" s="28" customFormat="1" ht="21.75" customHeight="1" x14ac:dyDescent="0.25">
      <c r="A116" s="91" t="s">
        <v>174</v>
      </c>
      <c r="B116" s="92"/>
      <c r="C116" s="92"/>
      <c r="D116" s="92"/>
      <c r="E116" s="93"/>
      <c r="F116" s="49" t="s">
        <v>8</v>
      </c>
      <c r="G116" s="49" t="s">
        <v>9</v>
      </c>
      <c r="H116" s="49" t="s">
        <v>10</v>
      </c>
      <c r="I116" s="50" t="s">
        <v>8</v>
      </c>
      <c r="J116" s="50" t="s">
        <v>9</v>
      </c>
      <c r="K116" s="50" t="s">
        <v>10</v>
      </c>
      <c r="L116" s="51" t="s">
        <v>8</v>
      </c>
      <c r="M116" s="51" t="s">
        <v>9</v>
      </c>
      <c r="N116" s="51" t="s">
        <v>10</v>
      </c>
      <c r="O116" s="52" t="s">
        <v>8</v>
      </c>
      <c r="P116" s="52" t="s">
        <v>9</v>
      </c>
      <c r="Q116" s="52" t="s">
        <v>10</v>
      </c>
      <c r="R116" s="53" t="s">
        <v>8</v>
      </c>
      <c r="S116" s="53" t="s">
        <v>9</v>
      </c>
      <c r="T116" s="53" t="s">
        <v>10</v>
      </c>
      <c r="U116" s="55" t="s">
        <v>8</v>
      </c>
      <c r="V116" s="55" t="s">
        <v>9</v>
      </c>
      <c r="W116" s="55" t="s">
        <v>10</v>
      </c>
    </row>
    <row r="117" spans="1:23" s="28" customFormat="1" ht="24.75" customHeight="1" x14ac:dyDescent="0.25">
      <c r="A117" s="94"/>
      <c r="B117" s="95"/>
      <c r="C117" s="95"/>
      <c r="D117" s="95"/>
      <c r="E117" s="96"/>
      <c r="F117" s="49">
        <f>F114+F102+F90+F80+F61+F40+F7</f>
        <v>32</v>
      </c>
      <c r="G117" s="49">
        <f t="shared" ref="G117:W117" si="18">G114+G102+G90+G80+G61+G40+G7</f>
        <v>41</v>
      </c>
      <c r="H117" s="49">
        <f t="shared" si="18"/>
        <v>22</v>
      </c>
      <c r="I117" s="50">
        <f t="shared" si="18"/>
        <v>132</v>
      </c>
      <c r="J117" s="50">
        <f t="shared" si="18"/>
        <v>120</v>
      </c>
      <c r="K117" s="50">
        <f t="shared" si="18"/>
        <v>168</v>
      </c>
      <c r="L117" s="51">
        <f t="shared" si="18"/>
        <v>256</v>
      </c>
      <c r="M117" s="51">
        <f t="shared" si="18"/>
        <v>140</v>
      </c>
      <c r="N117" s="51">
        <f t="shared" si="18"/>
        <v>348</v>
      </c>
      <c r="O117" s="52">
        <f t="shared" si="18"/>
        <v>164</v>
      </c>
      <c r="P117" s="52">
        <f t="shared" si="18"/>
        <v>92</v>
      </c>
      <c r="Q117" s="52">
        <f t="shared" si="18"/>
        <v>132</v>
      </c>
      <c r="R117" s="53">
        <f t="shared" si="18"/>
        <v>176</v>
      </c>
      <c r="S117" s="53">
        <f t="shared" si="18"/>
        <v>84</v>
      </c>
      <c r="T117" s="53">
        <f t="shared" si="18"/>
        <v>256</v>
      </c>
      <c r="U117" s="55">
        <f t="shared" si="18"/>
        <v>68</v>
      </c>
      <c r="V117" s="55">
        <f t="shared" si="18"/>
        <v>16</v>
      </c>
      <c r="W117" s="55">
        <f t="shared" si="18"/>
        <v>20</v>
      </c>
    </row>
    <row r="118" spans="1:23" s="28" customFormat="1" ht="32.25" customHeight="1" x14ac:dyDescent="0.25">
      <c r="A118" s="97" t="s">
        <v>175</v>
      </c>
      <c r="B118" s="98"/>
      <c r="C118" s="98"/>
      <c r="D118" s="98"/>
      <c r="E118" s="99"/>
      <c r="F118" s="100">
        <f>F117+G117+H117</f>
        <v>95</v>
      </c>
      <c r="G118" s="100"/>
      <c r="H118" s="61">
        <f>F118/8</f>
        <v>11.875</v>
      </c>
      <c r="I118" s="101">
        <f>I117+J117+K117</f>
        <v>420</v>
      </c>
      <c r="J118" s="101"/>
      <c r="K118" s="62">
        <f>I118/8</f>
        <v>52.5</v>
      </c>
      <c r="L118" s="77">
        <f>L117+M117+N117</f>
        <v>744</v>
      </c>
      <c r="M118" s="77"/>
      <c r="N118" s="31">
        <f>L118/8</f>
        <v>93</v>
      </c>
      <c r="O118" s="78">
        <f>O117+P117+Q117</f>
        <v>388</v>
      </c>
      <c r="P118" s="78"/>
      <c r="Q118" s="32">
        <f>O118/8</f>
        <v>48.5</v>
      </c>
      <c r="R118" s="79">
        <f>R117+S117+T117</f>
        <v>516</v>
      </c>
      <c r="S118" s="79"/>
      <c r="T118" s="54">
        <f>R118/8</f>
        <v>64.5</v>
      </c>
      <c r="U118" s="80">
        <f>U117+V117+W117</f>
        <v>104</v>
      </c>
      <c r="V118" s="80"/>
      <c r="W118" s="48">
        <f>U118/8</f>
        <v>13</v>
      </c>
    </row>
  </sheetData>
  <mergeCells count="511">
    <mergeCell ref="U15:U20"/>
    <mergeCell ref="V15:V20"/>
    <mergeCell ref="W15:W20"/>
    <mergeCell ref="U2:W2"/>
    <mergeCell ref="U9:U11"/>
    <mergeCell ref="V9:V11"/>
    <mergeCell ref="W9:W11"/>
    <mergeCell ref="U12:U14"/>
    <mergeCell ref="V12:V14"/>
    <mergeCell ref="W12:W14"/>
    <mergeCell ref="P82:P84"/>
    <mergeCell ref="O86:O88"/>
    <mergeCell ref="P86:P88"/>
    <mergeCell ref="Q86:Q88"/>
    <mergeCell ref="R86:R88"/>
    <mergeCell ref="S86:S88"/>
    <mergeCell ref="T86:T88"/>
    <mergeCell ref="I86:I88"/>
    <mergeCell ref="J86:J88"/>
    <mergeCell ref="K86:K88"/>
    <mergeCell ref="L86:L88"/>
    <mergeCell ref="M86:M88"/>
    <mergeCell ref="N86:N88"/>
    <mergeCell ref="C86:C88"/>
    <mergeCell ref="D86:D88"/>
    <mergeCell ref="E86:E88"/>
    <mergeCell ref="F86:F88"/>
    <mergeCell ref="G86:G88"/>
    <mergeCell ref="H86:H88"/>
    <mergeCell ref="K82:K84"/>
    <mergeCell ref="L82:L84"/>
    <mergeCell ref="M82:M84"/>
    <mergeCell ref="I75:I76"/>
    <mergeCell ref="N75:N76"/>
    <mergeCell ref="P77:P78"/>
    <mergeCell ref="Q77:Q78"/>
    <mergeCell ref="R77:R78"/>
    <mergeCell ref="S77:S78"/>
    <mergeCell ref="T77:T78"/>
    <mergeCell ref="C82:C84"/>
    <mergeCell ref="D82:D84"/>
    <mergeCell ref="E82:E84"/>
    <mergeCell ref="F82:F84"/>
    <mergeCell ref="G82:G84"/>
    <mergeCell ref="J77:J78"/>
    <mergeCell ref="K77:K78"/>
    <mergeCell ref="L77:L78"/>
    <mergeCell ref="M77:M78"/>
    <mergeCell ref="N77:N78"/>
    <mergeCell ref="O77:O78"/>
    <mergeCell ref="Q82:Q84"/>
    <mergeCell ref="R82:R84"/>
    <mergeCell ref="S82:S84"/>
    <mergeCell ref="T82:T84"/>
    <mergeCell ref="N82:N84"/>
    <mergeCell ref="O82:O84"/>
    <mergeCell ref="L72:L74"/>
    <mergeCell ref="M72:M74"/>
    <mergeCell ref="N72:N74"/>
    <mergeCell ref="R75:R76"/>
    <mergeCell ref="S75:S76"/>
    <mergeCell ref="T75:T76"/>
    <mergeCell ref="C77:C78"/>
    <mergeCell ref="D77:D78"/>
    <mergeCell ref="E77:E78"/>
    <mergeCell ref="F77:F78"/>
    <mergeCell ref="G77:G78"/>
    <mergeCell ref="H77:H78"/>
    <mergeCell ref="I77:I78"/>
    <mergeCell ref="J75:J76"/>
    <mergeCell ref="L75:L76"/>
    <mergeCell ref="M75:M76"/>
    <mergeCell ref="O75:O76"/>
    <mergeCell ref="P75:P76"/>
    <mergeCell ref="Q75:Q76"/>
    <mergeCell ref="C75:C76"/>
    <mergeCell ref="D75:D76"/>
    <mergeCell ref="F75:F76"/>
    <mergeCell ref="G75:G76"/>
    <mergeCell ref="H75:H76"/>
    <mergeCell ref="R70:R71"/>
    <mergeCell ref="S70:S71"/>
    <mergeCell ref="T70:T71"/>
    <mergeCell ref="C72:C74"/>
    <mergeCell ref="D72:D74"/>
    <mergeCell ref="E72:E74"/>
    <mergeCell ref="F72:F74"/>
    <mergeCell ref="G72:G74"/>
    <mergeCell ref="H72:H74"/>
    <mergeCell ref="N70:N71"/>
    <mergeCell ref="F70:F71"/>
    <mergeCell ref="G70:G71"/>
    <mergeCell ref="H70:H71"/>
    <mergeCell ref="O70:O71"/>
    <mergeCell ref="P70:P71"/>
    <mergeCell ref="O72:O74"/>
    <mergeCell ref="P72:P74"/>
    <mergeCell ref="Q72:Q74"/>
    <mergeCell ref="R72:R74"/>
    <mergeCell ref="S72:S74"/>
    <mergeCell ref="T72:T74"/>
    <mergeCell ref="I72:I74"/>
    <mergeCell ref="J72:J74"/>
    <mergeCell ref="K72:K74"/>
    <mergeCell ref="C70:C71"/>
    <mergeCell ref="D70:D71"/>
    <mergeCell ref="E70:E71"/>
    <mergeCell ref="I70:I71"/>
    <mergeCell ref="O67:O69"/>
    <mergeCell ref="P67:P69"/>
    <mergeCell ref="Q67:Q69"/>
    <mergeCell ref="L70:L71"/>
    <mergeCell ref="M70:M71"/>
    <mergeCell ref="Q70:Q71"/>
    <mergeCell ref="R67:R69"/>
    <mergeCell ref="S67:S69"/>
    <mergeCell ref="T67:T69"/>
    <mergeCell ref="Q64:Q66"/>
    <mergeCell ref="R64:R66"/>
    <mergeCell ref="S64:S66"/>
    <mergeCell ref="T64:T66"/>
    <mergeCell ref="F64:F66"/>
    <mergeCell ref="G64:G66"/>
    <mergeCell ref="H64:H66"/>
    <mergeCell ref="L67:L69"/>
    <mergeCell ref="M67:M69"/>
    <mergeCell ref="N67:N69"/>
    <mergeCell ref="G67:G69"/>
    <mergeCell ref="H67:H69"/>
    <mergeCell ref="A114:B114"/>
    <mergeCell ref="F15:F20"/>
    <mergeCell ref="G15:G20"/>
    <mergeCell ref="H15:H20"/>
    <mergeCell ref="B28:T28"/>
    <mergeCell ref="B21:T21"/>
    <mergeCell ref="C64:C66"/>
    <mergeCell ref="D64:D66"/>
    <mergeCell ref="E64:E66"/>
    <mergeCell ref="I64:I66"/>
    <mergeCell ref="O112:O113"/>
    <mergeCell ref="P112:P113"/>
    <mergeCell ref="Q112:Q113"/>
    <mergeCell ref="R112:R113"/>
    <mergeCell ref="S112:S113"/>
    <mergeCell ref="T112:T113"/>
    <mergeCell ref="I112:I113"/>
    <mergeCell ref="J112:J113"/>
    <mergeCell ref="K112:K113"/>
    <mergeCell ref="L112:L113"/>
    <mergeCell ref="M112:M113"/>
    <mergeCell ref="N112:N113"/>
    <mergeCell ref="C112:C113"/>
    <mergeCell ref="D112:D113"/>
    <mergeCell ref="A7:B7"/>
    <mergeCell ref="A61:B61"/>
    <mergeCell ref="A80:B80"/>
    <mergeCell ref="B91:T91"/>
    <mergeCell ref="A90:B90"/>
    <mergeCell ref="A102:B102"/>
    <mergeCell ref="J64:J66"/>
    <mergeCell ref="K64:K66"/>
    <mergeCell ref="L64:L66"/>
    <mergeCell ref="M64:M66"/>
    <mergeCell ref="B92:T92"/>
    <mergeCell ref="B81:T81"/>
    <mergeCell ref="B63:T63"/>
    <mergeCell ref="B41:T41"/>
    <mergeCell ref="B8:T8"/>
    <mergeCell ref="B62:T62"/>
    <mergeCell ref="A40:B40"/>
    <mergeCell ref="N64:N66"/>
    <mergeCell ref="O64:O66"/>
    <mergeCell ref="P64:P66"/>
    <mergeCell ref="S100:S101"/>
    <mergeCell ref="T100:T101"/>
    <mergeCell ref="O93:O95"/>
    <mergeCell ref="P93:P95"/>
    <mergeCell ref="E112:E113"/>
    <mergeCell ref="F112:F113"/>
    <mergeCell ref="G112:G113"/>
    <mergeCell ref="H112:H113"/>
    <mergeCell ref="M109:M111"/>
    <mergeCell ref="N109:N111"/>
    <mergeCell ref="O109:O111"/>
    <mergeCell ref="P109:P111"/>
    <mergeCell ref="Q109:Q111"/>
    <mergeCell ref="C109:C111"/>
    <mergeCell ref="D109:D111"/>
    <mergeCell ref="E109:E111"/>
    <mergeCell ref="F109:F111"/>
    <mergeCell ref="G109:G111"/>
    <mergeCell ref="H109:H111"/>
    <mergeCell ref="S109:S111"/>
    <mergeCell ref="T109:T111"/>
    <mergeCell ref="I109:I111"/>
    <mergeCell ref="J109:J111"/>
    <mergeCell ref="K109:K111"/>
    <mergeCell ref="L109:L111"/>
    <mergeCell ref="S107:S108"/>
    <mergeCell ref="T107:T108"/>
    <mergeCell ref="K107:K108"/>
    <mergeCell ref="L107:L108"/>
    <mergeCell ref="M107:M108"/>
    <mergeCell ref="N107:N108"/>
    <mergeCell ref="O107:O108"/>
    <mergeCell ref="P107:P108"/>
    <mergeCell ref="R109:R111"/>
    <mergeCell ref="S104:S106"/>
    <mergeCell ref="T104:T106"/>
    <mergeCell ref="C107:C108"/>
    <mergeCell ref="D107:D108"/>
    <mergeCell ref="E107:E108"/>
    <mergeCell ref="F107:F108"/>
    <mergeCell ref="G107:G108"/>
    <mergeCell ref="H107:H108"/>
    <mergeCell ref="I107:I108"/>
    <mergeCell ref="J107:J108"/>
    <mergeCell ref="M104:M106"/>
    <mergeCell ref="N104:N106"/>
    <mergeCell ref="O104:O106"/>
    <mergeCell ref="P104:P106"/>
    <mergeCell ref="Q104:Q106"/>
    <mergeCell ref="R104:R106"/>
    <mergeCell ref="G104:G106"/>
    <mergeCell ref="H104:H106"/>
    <mergeCell ref="I104:I106"/>
    <mergeCell ref="J104:J106"/>
    <mergeCell ref="K104:K106"/>
    <mergeCell ref="L104:L106"/>
    <mergeCell ref="Q107:Q108"/>
    <mergeCell ref="R107:R108"/>
    <mergeCell ref="B103:T103"/>
    <mergeCell ref="C104:C106"/>
    <mergeCell ref="D104:D106"/>
    <mergeCell ref="E104:E106"/>
    <mergeCell ref="F104:F106"/>
    <mergeCell ref="S96:S97"/>
    <mergeCell ref="T96:T97"/>
    <mergeCell ref="O98:O99"/>
    <mergeCell ref="P98:P99"/>
    <mergeCell ref="Q98:Q99"/>
    <mergeCell ref="R98:R99"/>
    <mergeCell ref="S98:S99"/>
    <mergeCell ref="T98:T99"/>
    <mergeCell ref="O100:O101"/>
    <mergeCell ref="P100:P101"/>
    <mergeCell ref="Q100:Q101"/>
    <mergeCell ref="R100:R101"/>
    <mergeCell ref="O96:O97"/>
    <mergeCell ref="P96:P97"/>
    <mergeCell ref="Q96:Q97"/>
    <mergeCell ref="R96:R97"/>
    <mergeCell ref="C100:C101"/>
    <mergeCell ref="D100:D101"/>
    <mergeCell ref="E100:E101"/>
    <mergeCell ref="Q93:Q95"/>
    <mergeCell ref="R93:R95"/>
    <mergeCell ref="S93:S95"/>
    <mergeCell ref="T93:T95"/>
    <mergeCell ref="I100:I101"/>
    <mergeCell ref="J100:J101"/>
    <mergeCell ref="K100:K101"/>
    <mergeCell ref="L100:L101"/>
    <mergeCell ref="M100:M101"/>
    <mergeCell ref="N100:N101"/>
    <mergeCell ref="K98:K99"/>
    <mergeCell ref="L98:L99"/>
    <mergeCell ref="M98:M99"/>
    <mergeCell ref="N98:N99"/>
    <mergeCell ref="L93:L95"/>
    <mergeCell ref="M93:M95"/>
    <mergeCell ref="N93:N95"/>
    <mergeCell ref="F100:F101"/>
    <mergeCell ref="G100:G101"/>
    <mergeCell ref="H100:H101"/>
    <mergeCell ref="M96:M97"/>
    <mergeCell ref="N96:N97"/>
    <mergeCell ref="C98:C99"/>
    <mergeCell ref="D98:D99"/>
    <mergeCell ref="E98:E99"/>
    <mergeCell ref="F98:F99"/>
    <mergeCell ref="G98:G99"/>
    <mergeCell ref="H98:H99"/>
    <mergeCell ref="I98:I99"/>
    <mergeCell ref="J98:J99"/>
    <mergeCell ref="F96:F97"/>
    <mergeCell ref="G96:G97"/>
    <mergeCell ref="H96:H97"/>
    <mergeCell ref="I96:I97"/>
    <mergeCell ref="J96:J97"/>
    <mergeCell ref="K96:K97"/>
    <mergeCell ref="L96:L97"/>
    <mergeCell ref="C96:C97"/>
    <mergeCell ref="D96:D97"/>
    <mergeCell ref="E96:E97"/>
    <mergeCell ref="F93:F95"/>
    <mergeCell ref="G93:G95"/>
    <mergeCell ref="H93:H95"/>
    <mergeCell ref="Q22:Q27"/>
    <mergeCell ref="R22:R27"/>
    <mergeCell ref="S22:S27"/>
    <mergeCell ref="T22:T27"/>
    <mergeCell ref="C93:C95"/>
    <mergeCell ref="D93:D95"/>
    <mergeCell ref="E93:E95"/>
    <mergeCell ref="I93:I95"/>
    <mergeCell ref="J93:J95"/>
    <mergeCell ref="K93:K95"/>
    <mergeCell ref="G22:G27"/>
    <mergeCell ref="H22:H27"/>
    <mergeCell ref="I22:I27"/>
    <mergeCell ref="J22:J27"/>
    <mergeCell ref="K22:K27"/>
    <mergeCell ref="L22:L27"/>
    <mergeCell ref="M22:M27"/>
    <mergeCell ref="N22:N27"/>
    <mergeCell ref="O22:O27"/>
    <mergeCell ref="R36:R39"/>
    <mergeCell ref="S36:S39"/>
    <mergeCell ref="T36:T39"/>
    <mergeCell ref="F2:H2"/>
    <mergeCell ref="I2:K2"/>
    <mergeCell ref="L2:N2"/>
    <mergeCell ref="O2:Q2"/>
    <mergeCell ref="R2:T2"/>
    <mergeCell ref="F22:F27"/>
    <mergeCell ref="R29:R31"/>
    <mergeCell ref="S29:S31"/>
    <mergeCell ref="T29:T31"/>
    <mergeCell ref="R32:R35"/>
    <mergeCell ref="S32:S35"/>
    <mergeCell ref="T32:T35"/>
    <mergeCell ref="R15:R20"/>
    <mergeCell ref="S15:S20"/>
    <mergeCell ref="T15:T20"/>
    <mergeCell ref="R9:R11"/>
    <mergeCell ref="S9:S11"/>
    <mergeCell ref="T9:T11"/>
    <mergeCell ref="R12:R14"/>
    <mergeCell ref="S12:S14"/>
    <mergeCell ref="T12:T14"/>
    <mergeCell ref="N36:N39"/>
    <mergeCell ref="O36:O39"/>
    <mergeCell ref="B3:E3"/>
    <mergeCell ref="C22:C27"/>
    <mergeCell ref="D22:D27"/>
    <mergeCell ref="E22:E27"/>
    <mergeCell ref="H82:H84"/>
    <mergeCell ref="I82:I84"/>
    <mergeCell ref="J82:J84"/>
    <mergeCell ref="E75:E76"/>
    <mergeCell ref="K75:K76"/>
    <mergeCell ref="J70:J71"/>
    <mergeCell ref="K70:K71"/>
    <mergeCell ref="I67:I69"/>
    <mergeCell ref="J67:J69"/>
    <mergeCell ref="K67:K69"/>
    <mergeCell ref="C67:C69"/>
    <mergeCell ref="D67:D69"/>
    <mergeCell ref="E67:E69"/>
    <mergeCell ref="F67:F69"/>
    <mergeCell ref="E29:E31"/>
    <mergeCell ref="F29:F31"/>
    <mergeCell ref="G29:G31"/>
    <mergeCell ref="H29:H31"/>
    <mergeCell ref="I29:I31"/>
    <mergeCell ref="J29:J31"/>
    <mergeCell ref="P36:P39"/>
    <mergeCell ref="Q36:Q39"/>
    <mergeCell ref="H36:H39"/>
    <mergeCell ref="I36:I39"/>
    <mergeCell ref="J36:J39"/>
    <mergeCell ref="K36:K39"/>
    <mergeCell ref="L36:L39"/>
    <mergeCell ref="M36:M39"/>
    <mergeCell ref="C36:C39"/>
    <mergeCell ref="D36:D39"/>
    <mergeCell ref="E36:E39"/>
    <mergeCell ref="F36:F39"/>
    <mergeCell ref="G36:G39"/>
    <mergeCell ref="P32:P35"/>
    <mergeCell ref="Q32:Q35"/>
    <mergeCell ref="Q29:Q31"/>
    <mergeCell ref="C32:C35"/>
    <mergeCell ref="D32:D35"/>
    <mergeCell ref="E32:E35"/>
    <mergeCell ref="F32:F35"/>
    <mergeCell ref="G32:G35"/>
    <mergeCell ref="H32:H35"/>
    <mergeCell ref="I32:I35"/>
    <mergeCell ref="J32:J35"/>
    <mergeCell ref="K32:K35"/>
    <mergeCell ref="K29:K31"/>
    <mergeCell ref="L29:L31"/>
    <mergeCell ref="M29:M31"/>
    <mergeCell ref="N29:N31"/>
    <mergeCell ref="O29:O31"/>
    <mergeCell ref="P29:P31"/>
    <mergeCell ref="C29:C31"/>
    <mergeCell ref="D29:D31"/>
    <mergeCell ref="K12:K14"/>
    <mergeCell ref="L12:L14"/>
    <mergeCell ref="M12:M14"/>
    <mergeCell ref="P22:P27"/>
    <mergeCell ref="Q15:Q20"/>
    <mergeCell ref="K15:K20"/>
    <mergeCell ref="L15:L20"/>
    <mergeCell ref="M15:M20"/>
    <mergeCell ref="N15:N20"/>
    <mergeCell ref="O15:O20"/>
    <mergeCell ref="P15:P20"/>
    <mergeCell ref="P12:P14"/>
    <mergeCell ref="Q12:Q14"/>
    <mergeCell ref="N12:N14"/>
    <mergeCell ref="O12:O14"/>
    <mergeCell ref="F9:F11"/>
    <mergeCell ref="G9:G11"/>
    <mergeCell ref="H9:H11"/>
    <mergeCell ref="C15:C20"/>
    <mergeCell ref="D15:D20"/>
    <mergeCell ref="E15:E20"/>
    <mergeCell ref="I15:I20"/>
    <mergeCell ref="J15:J20"/>
    <mergeCell ref="J12:J14"/>
    <mergeCell ref="C2:E2"/>
    <mergeCell ref="A116:E117"/>
    <mergeCell ref="A118:E118"/>
    <mergeCell ref="F118:G118"/>
    <mergeCell ref="I118:J118"/>
    <mergeCell ref="O9:O11"/>
    <mergeCell ref="P9:P11"/>
    <mergeCell ref="Q9:Q11"/>
    <mergeCell ref="C12:C14"/>
    <mergeCell ref="D12:D14"/>
    <mergeCell ref="E12:E14"/>
    <mergeCell ref="F12:F14"/>
    <mergeCell ref="G12:G14"/>
    <mergeCell ref="H12:H14"/>
    <mergeCell ref="I12:I14"/>
    <mergeCell ref="I9:I11"/>
    <mergeCell ref="J9:J11"/>
    <mergeCell ref="K9:K11"/>
    <mergeCell ref="L9:L11"/>
    <mergeCell ref="M9:M11"/>
    <mergeCell ref="N9:N11"/>
    <mergeCell ref="C9:C11"/>
    <mergeCell ref="D9:D11"/>
    <mergeCell ref="E9:E11"/>
    <mergeCell ref="L118:M118"/>
    <mergeCell ref="O118:P118"/>
    <mergeCell ref="R118:S118"/>
    <mergeCell ref="U118:V118"/>
    <mergeCell ref="U22:U27"/>
    <mergeCell ref="V22:V27"/>
    <mergeCell ref="W22:W27"/>
    <mergeCell ref="U29:U39"/>
    <mergeCell ref="V29:V39"/>
    <mergeCell ref="W29:W39"/>
    <mergeCell ref="U64:U66"/>
    <mergeCell ref="V64:V66"/>
    <mergeCell ref="W64:W66"/>
    <mergeCell ref="U67:U69"/>
    <mergeCell ref="V67:V69"/>
    <mergeCell ref="W67:W69"/>
    <mergeCell ref="U70:U71"/>
    <mergeCell ref="V70:V71"/>
    <mergeCell ref="W70:W71"/>
    <mergeCell ref="U72:U74"/>
    <mergeCell ref="L32:L35"/>
    <mergeCell ref="M32:M35"/>
    <mergeCell ref="N32:N35"/>
    <mergeCell ref="O32:O35"/>
    <mergeCell ref="W86:W88"/>
    <mergeCell ref="U93:U95"/>
    <mergeCell ref="V93:V95"/>
    <mergeCell ref="W93:W95"/>
    <mergeCell ref="V72:V74"/>
    <mergeCell ref="W72:W74"/>
    <mergeCell ref="U75:U76"/>
    <mergeCell ref="V75:V76"/>
    <mergeCell ref="W75:W76"/>
    <mergeCell ref="U77:U78"/>
    <mergeCell ref="V77:V78"/>
    <mergeCell ref="W77:W78"/>
    <mergeCell ref="U82:U84"/>
    <mergeCell ref="V82:V84"/>
    <mergeCell ref="W82:W84"/>
    <mergeCell ref="U112:U113"/>
    <mergeCell ref="V112:V113"/>
    <mergeCell ref="W112:W113"/>
    <mergeCell ref="A1:X1"/>
    <mergeCell ref="U104:U106"/>
    <mergeCell ref="V104:V106"/>
    <mergeCell ref="W104:W106"/>
    <mergeCell ref="U107:U108"/>
    <mergeCell ref="V107:V108"/>
    <mergeCell ref="W107:W108"/>
    <mergeCell ref="U109:U111"/>
    <mergeCell ref="V109:V111"/>
    <mergeCell ref="W109:W111"/>
    <mergeCell ref="U96:U97"/>
    <mergeCell ref="V96:V97"/>
    <mergeCell ref="W96:W97"/>
    <mergeCell ref="U98:U99"/>
    <mergeCell ref="V98:V99"/>
    <mergeCell ref="W98:W99"/>
    <mergeCell ref="U100:U101"/>
    <mergeCell ref="V100:V101"/>
    <mergeCell ref="W100:W101"/>
    <mergeCell ref="U86:U88"/>
    <mergeCell ref="V86:V88"/>
  </mergeCells>
  <phoneticPr fontId="6" type="noConversion"/>
  <pageMargins left="0.7" right="0.7" top="0.75" bottom="0.75" header="0.3" footer="0.3"/>
  <pageSetup paperSize="9" scale="93" fitToHeight="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7"/>
  <sheetViews>
    <sheetView tabSelected="1" view="pageBreakPreview" zoomScaleNormal="100" zoomScaleSheetLayoutView="100" workbookViewId="0">
      <pane ySplit="2" topLeftCell="A93" activePane="bottomLeft" state="frozen"/>
      <selection activeCell="B1" sqref="B1"/>
      <selection pane="bottomLeft" activeCell="AF106" sqref="AF106"/>
    </sheetView>
  </sheetViews>
  <sheetFormatPr defaultColWidth="9.140625" defaultRowHeight="15" x14ac:dyDescent="0.25"/>
  <cols>
    <col min="1" max="1" width="6.42578125" style="11" customWidth="1"/>
    <col min="2" max="2" width="44.42578125" style="1" customWidth="1"/>
    <col min="3" max="20" width="5" style="11" customWidth="1"/>
    <col min="21" max="23" width="5" style="1" customWidth="1"/>
    <col min="24" max="16384" width="9.140625" style="1"/>
  </cols>
  <sheetData>
    <row r="1" spans="1:26" s="60" customFormat="1" ht="26.25" customHeight="1" x14ac:dyDescent="0.3">
      <c r="A1" s="68" t="s">
        <v>177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70"/>
    </row>
    <row r="2" spans="1:26" ht="44.25" customHeight="1" x14ac:dyDescent="0.25">
      <c r="A2" s="3" t="s">
        <v>0</v>
      </c>
      <c r="B2" s="3" t="s">
        <v>161</v>
      </c>
      <c r="C2" s="88" t="s">
        <v>1</v>
      </c>
      <c r="D2" s="89"/>
      <c r="E2" s="90"/>
      <c r="F2" s="117" t="s">
        <v>3</v>
      </c>
      <c r="G2" s="118"/>
      <c r="H2" s="119"/>
      <c r="I2" s="120" t="s">
        <v>4</v>
      </c>
      <c r="J2" s="121"/>
      <c r="K2" s="122"/>
      <c r="L2" s="123" t="s">
        <v>5</v>
      </c>
      <c r="M2" s="124"/>
      <c r="N2" s="125"/>
      <c r="O2" s="126" t="s">
        <v>6</v>
      </c>
      <c r="P2" s="127"/>
      <c r="Q2" s="128"/>
      <c r="R2" s="129" t="s">
        <v>7</v>
      </c>
      <c r="S2" s="130"/>
      <c r="T2" s="131"/>
      <c r="U2" s="155" t="s">
        <v>173</v>
      </c>
      <c r="V2" s="156"/>
      <c r="W2" s="157"/>
    </row>
    <row r="3" spans="1:26" ht="15.75" x14ac:dyDescent="0.25">
      <c r="A3" s="3"/>
      <c r="B3" s="111" t="s">
        <v>2</v>
      </c>
      <c r="C3" s="112"/>
      <c r="D3" s="112"/>
      <c r="E3" s="113"/>
      <c r="F3" s="15"/>
      <c r="G3" s="15"/>
      <c r="H3" s="15"/>
      <c r="I3" s="16"/>
      <c r="J3" s="16"/>
      <c r="K3" s="16"/>
      <c r="L3" s="17"/>
      <c r="M3" s="17"/>
      <c r="N3" s="17"/>
      <c r="O3" s="18"/>
      <c r="P3" s="18"/>
      <c r="Q3" s="18"/>
      <c r="R3" s="19"/>
      <c r="S3" s="19"/>
      <c r="T3" s="19"/>
    </row>
    <row r="4" spans="1:26" x14ac:dyDescent="0.25">
      <c r="A4" s="3"/>
      <c r="B4" s="3"/>
      <c r="C4" s="2" t="s">
        <v>8</v>
      </c>
      <c r="D4" s="2" t="s">
        <v>9</v>
      </c>
      <c r="E4" s="2" t="s">
        <v>10</v>
      </c>
      <c r="F4" s="2" t="s">
        <v>8</v>
      </c>
      <c r="G4" s="2" t="s">
        <v>9</v>
      </c>
      <c r="H4" s="2" t="s">
        <v>10</v>
      </c>
      <c r="I4" s="2" t="s">
        <v>8</v>
      </c>
      <c r="J4" s="2" t="s">
        <v>9</v>
      </c>
      <c r="K4" s="2" t="s">
        <v>10</v>
      </c>
      <c r="L4" s="2" t="s">
        <v>8</v>
      </c>
      <c r="M4" s="2" t="s">
        <v>9</v>
      </c>
      <c r="N4" s="2" t="s">
        <v>10</v>
      </c>
      <c r="O4" s="2" t="s">
        <v>8</v>
      </c>
      <c r="P4" s="2" t="s">
        <v>9</v>
      </c>
      <c r="Q4" s="2" t="s">
        <v>10</v>
      </c>
      <c r="R4" s="2" t="s">
        <v>8</v>
      </c>
      <c r="S4" s="2" t="s">
        <v>9</v>
      </c>
      <c r="T4" s="2" t="s">
        <v>10</v>
      </c>
      <c r="U4" s="2" t="s">
        <v>8</v>
      </c>
      <c r="V4" s="2" t="s">
        <v>9</v>
      </c>
      <c r="W4" s="2" t="s">
        <v>10</v>
      </c>
    </row>
    <row r="5" spans="1:26" x14ac:dyDescent="0.25">
      <c r="A5" s="2">
        <v>1</v>
      </c>
      <c r="B5" s="3" t="s">
        <v>11</v>
      </c>
      <c r="C5" s="4">
        <v>2</v>
      </c>
      <c r="D5" s="4">
        <v>0</v>
      </c>
      <c r="E5" s="4">
        <v>0</v>
      </c>
      <c r="F5" s="5">
        <v>2</v>
      </c>
      <c r="G5" s="4">
        <v>0</v>
      </c>
      <c r="H5" s="4">
        <v>0</v>
      </c>
      <c r="I5" s="6">
        <v>2</v>
      </c>
      <c r="J5" s="4">
        <v>0</v>
      </c>
      <c r="K5" s="4">
        <v>0</v>
      </c>
      <c r="L5" s="7">
        <v>2</v>
      </c>
      <c r="M5" s="4">
        <v>0</v>
      </c>
      <c r="N5" s="4">
        <v>0</v>
      </c>
      <c r="O5" s="8">
        <v>2</v>
      </c>
      <c r="P5" s="4">
        <v>0</v>
      </c>
      <c r="Q5" s="4">
        <v>0</v>
      </c>
      <c r="R5" s="9">
        <v>2</v>
      </c>
      <c r="S5" s="4">
        <v>0</v>
      </c>
      <c r="T5" s="4">
        <v>0</v>
      </c>
      <c r="U5" s="45">
        <v>2</v>
      </c>
      <c r="V5" s="4">
        <v>0</v>
      </c>
      <c r="W5" s="4">
        <v>0</v>
      </c>
    </row>
    <row r="6" spans="1:26" x14ac:dyDescent="0.25">
      <c r="A6" s="2">
        <v>2</v>
      </c>
      <c r="B6" s="3" t="s">
        <v>12</v>
      </c>
      <c r="C6" s="4">
        <v>2</v>
      </c>
      <c r="D6" s="4">
        <v>0</v>
      </c>
      <c r="E6" s="4">
        <v>0</v>
      </c>
      <c r="F6" s="5">
        <v>2</v>
      </c>
      <c r="G6" s="4">
        <v>0</v>
      </c>
      <c r="H6" s="4">
        <v>0</v>
      </c>
      <c r="I6" s="6">
        <v>2</v>
      </c>
      <c r="J6" s="4">
        <v>0</v>
      </c>
      <c r="K6" s="4">
        <v>0</v>
      </c>
      <c r="L6" s="7">
        <v>2</v>
      </c>
      <c r="M6" s="4">
        <v>0</v>
      </c>
      <c r="N6" s="4">
        <v>0</v>
      </c>
      <c r="O6" s="8">
        <v>2</v>
      </c>
      <c r="P6" s="4">
        <v>0</v>
      </c>
      <c r="Q6" s="4">
        <v>0</v>
      </c>
      <c r="R6" s="9">
        <v>2</v>
      </c>
      <c r="S6" s="4">
        <v>0</v>
      </c>
      <c r="T6" s="4">
        <v>0</v>
      </c>
      <c r="U6" s="45">
        <v>2</v>
      </c>
      <c r="V6" s="4">
        <v>0</v>
      </c>
      <c r="W6" s="4">
        <v>0</v>
      </c>
    </row>
    <row r="7" spans="1:26" s="28" customFormat="1" ht="21" customHeight="1" x14ac:dyDescent="0.25">
      <c r="A7" s="143" t="s">
        <v>160</v>
      </c>
      <c r="B7" s="144"/>
      <c r="C7" s="27">
        <f>SUM(C5:C6)</f>
        <v>4</v>
      </c>
      <c r="D7" s="27">
        <f t="shared" ref="D7:W7" si="0">SUM(D5:D6)</f>
        <v>0</v>
      </c>
      <c r="E7" s="27">
        <f t="shared" si="0"/>
        <v>0</v>
      </c>
      <c r="F7" s="29">
        <f t="shared" si="0"/>
        <v>4</v>
      </c>
      <c r="G7" s="29">
        <f t="shared" si="0"/>
        <v>0</v>
      </c>
      <c r="H7" s="29">
        <f t="shared" si="0"/>
        <v>0</v>
      </c>
      <c r="I7" s="30">
        <f t="shared" si="0"/>
        <v>4</v>
      </c>
      <c r="J7" s="30">
        <f t="shared" si="0"/>
        <v>0</v>
      </c>
      <c r="K7" s="30">
        <f t="shared" si="0"/>
        <v>0</v>
      </c>
      <c r="L7" s="31">
        <f t="shared" si="0"/>
        <v>4</v>
      </c>
      <c r="M7" s="31">
        <f t="shared" si="0"/>
        <v>0</v>
      </c>
      <c r="N7" s="31">
        <f t="shared" si="0"/>
        <v>0</v>
      </c>
      <c r="O7" s="32">
        <f t="shared" si="0"/>
        <v>4</v>
      </c>
      <c r="P7" s="32">
        <f t="shared" si="0"/>
        <v>0</v>
      </c>
      <c r="Q7" s="32">
        <f t="shared" si="0"/>
        <v>0</v>
      </c>
      <c r="R7" s="33">
        <f t="shared" si="0"/>
        <v>4</v>
      </c>
      <c r="S7" s="33">
        <f t="shared" si="0"/>
        <v>0</v>
      </c>
      <c r="T7" s="33">
        <f t="shared" si="0"/>
        <v>0</v>
      </c>
      <c r="U7" s="46">
        <f t="shared" si="0"/>
        <v>4</v>
      </c>
      <c r="V7" s="46">
        <f t="shared" si="0"/>
        <v>0</v>
      </c>
      <c r="W7" s="46">
        <f t="shared" si="0"/>
        <v>0</v>
      </c>
    </row>
    <row r="8" spans="1:26" ht="19.5" customHeight="1" x14ac:dyDescent="0.25">
      <c r="A8" s="2">
        <v>3</v>
      </c>
      <c r="B8" s="132" t="s">
        <v>13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4"/>
    </row>
    <row r="9" spans="1:26" x14ac:dyDescent="0.25">
      <c r="A9" s="4">
        <v>3.1</v>
      </c>
      <c r="B9" s="10" t="s">
        <v>14</v>
      </c>
      <c r="C9" s="74">
        <v>4</v>
      </c>
      <c r="D9" s="74">
        <v>4</v>
      </c>
      <c r="E9" s="74">
        <v>8</v>
      </c>
      <c r="F9" s="102">
        <v>4</v>
      </c>
      <c r="G9" s="102">
        <v>4</v>
      </c>
      <c r="H9" s="74">
        <v>0</v>
      </c>
      <c r="I9" s="105">
        <v>4</v>
      </c>
      <c r="J9" s="105">
        <v>4</v>
      </c>
      <c r="K9" s="105">
        <v>8</v>
      </c>
      <c r="L9" s="82">
        <v>4</v>
      </c>
      <c r="M9" s="82">
        <v>4</v>
      </c>
      <c r="N9" s="82">
        <v>8</v>
      </c>
      <c r="O9" s="85">
        <v>4</v>
      </c>
      <c r="P9" s="85">
        <v>4</v>
      </c>
      <c r="Q9" s="85">
        <v>8</v>
      </c>
      <c r="R9" s="114">
        <v>4</v>
      </c>
      <c r="S9" s="114">
        <v>4</v>
      </c>
      <c r="T9" s="114">
        <v>8</v>
      </c>
      <c r="U9" s="158">
        <v>4</v>
      </c>
      <c r="V9" s="158">
        <v>4</v>
      </c>
      <c r="W9" s="158">
        <v>8</v>
      </c>
    </row>
    <row r="10" spans="1:26" x14ac:dyDescent="0.25">
      <c r="A10" s="10" t="s">
        <v>23</v>
      </c>
      <c r="B10" s="10" t="s">
        <v>24</v>
      </c>
      <c r="C10" s="76"/>
      <c r="D10" s="76"/>
      <c r="E10" s="76"/>
      <c r="F10" s="103"/>
      <c r="G10" s="103"/>
      <c r="H10" s="76"/>
      <c r="I10" s="106"/>
      <c r="J10" s="106"/>
      <c r="K10" s="106"/>
      <c r="L10" s="83"/>
      <c r="M10" s="83"/>
      <c r="N10" s="83"/>
      <c r="O10" s="86"/>
      <c r="P10" s="86"/>
      <c r="Q10" s="86"/>
      <c r="R10" s="115"/>
      <c r="S10" s="115"/>
      <c r="T10" s="115"/>
      <c r="U10" s="159"/>
      <c r="V10" s="159"/>
      <c r="W10" s="159"/>
    </row>
    <row r="11" spans="1:26" x14ac:dyDescent="0.25">
      <c r="A11" s="10" t="s">
        <v>25</v>
      </c>
      <c r="B11" s="10" t="s">
        <v>36</v>
      </c>
      <c r="C11" s="75"/>
      <c r="D11" s="75"/>
      <c r="E11" s="75"/>
      <c r="F11" s="104"/>
      <c r="G11" s="104"/>
      <c r="H11" s="75"/>
      <c r="I11" s="107"/>
      <c r="J11" s="107"/>
      <c r="K11" s="107"/>
      <c r="L11" s="84"/>
      <c r="M11" s="84"/>
      <c r="N11" s="84"/>
      <c r="O11" s="87"/>
      <c r="P11" s="87"/>
      <c r="Q11" s="87"/>
      <c r="R11" s="116"/>
      <c r="S11" s="116"/>
      <c r="T11" s="116"/>
      <c r="U11" s="160"/>
      <c r="V11" s="160"/>
      <c r="W11" s="160"/>
    </row>
    <row r="12" spans="1:26" x14ac:dyDescent="0.25">
      <c r="A12" s="10" t="s">
        <v>26</v>
      </c>
      <c r="B12" s="10" t="s">
        <v>35</v>
      </c>
      <c r="C12" s="74">
        <v>4</v>
      </c>
      <c r="D12" s="74">
        <v>4</v>
      </c>
      <c r="E12" s="74">
        <v>16</v>
      </c>
      <c r="F12" s="102">
        <v>4</v>
      </c>
      <c r="G12" s="102">
        <v>4</v>
      </c>
      <c r="H12" s="74">
        <v>0</v>
      </c>
      <c r="I12" s="105">
        <v>4</v>
      </c>
      <c r="J12" s="105">
        <v>4</v>
      </c>
      <c r="K12" s="105">
        <v>16</v>
      </c>
      <c r="L12" s="82">
        <v>4</v>
      </c>
      <c r="M12" s="82">
        <v>4</v>
      </c>
      <c r="N12" s="82">
        <v>16</v>
      </c>
      <c r="O12" s="85">
        <v>4</v>
      </c>
      <c r="P12" s="85">
        <v>4</v>
      </c>
      <c r="Q12" s="85">
        <v>16</v>
      </c>
      <c r="R12" s="114">
        <v>4</v>
      </c>
      <c r="S12" s="114">
        <v>4</v>
      </c>
      <c r="T12" s="114">
        <v>16</v>
      </c>
      <c r="U12" s="158">
        <v>4</v>
      </c>
      <c r="V12" s="71">
        <v>0</v>
      </c>
      <c r="W12" s="71">
        <v>0</v>
      </c>
    </row>
    <row r="13" spans="1:26" x14ac:dyDescent="0.25">
      <c r="A13" s="10" t="s">
        <v>27</v>
      </c>
      <c r="B13" s="1" t="s">
        <v>176</v>
      </c>
      <c r="C13" s="76"/>
      <c r="D13" s="76"/>
      <c r="E13" s="76"/>
      <c r="F13" s="103"/>
      <c r="G13" s="103"/>
      <c r="H13" s="76"/>
      <c r="I13" s="106"/>
      <c r="J13" s="106"/>
      <c r="K13" s="106"/>
      <c r="L13" s="83"/>
      <c r="M13" s="83"/>
      <c r="N13" s="83"/>
      <c r="O13" s="86"/>
      <c r="P13" s="86"/>
      <c r="Q13" s="86"/>
      <c r="R13" s="115"/>
      <c r="S13" s="115"/>
      <c r="T13" s="115"/>
      <c r="U13" s="159"/>
      <c r="V13" s="72"/>
      <c r="W13" s="72"/>
    </row>
    <row r="14" spans="1:26" ht="18.75" customHeight="1" x14ac:dyDescent="0.25">
      <c r="A14" s="10" t="s">
        <v>28</v>
      </c>
      <c r="B14" s="10" t="s">
        <v>38</v>
      </c>
      <c r="C14" s="75"/>
      <c r="D14" s="75"/>
      <c r="E14" s="75"/>
      <c r="F14" s="104"/>
      <c r="G14" s="104"/>
      <c r="H14" s="75"/>
      <c r="I14" s="107"/>
      <c r="J14" s="107"/>
      <c r="K14" s="107"/>
      <c r="L14" s="84"/>
      <c r="M14" s="84"/>
      <c r="N14" s="84"/>
      <c r="O14" s="87"/>
      <c r="P14" s="87"/>
      <c r="Q14" s="87"/>
      <c r="R14" s="116"/>
      <c r="S14" s="116"/>
      <c r="T14" s="116"/>
      <c r="U14" s="160"/>
      <c r="V14" s="73"/>
      <c r="W14" s="73"/>
      <c r="Z14" s="10"/>
    </row>
    <row r="15" spans="1:26" x14ac:dyDescent="0.25">
      <c r="A15" s="10" t="s">
        <v>29</v>
      </c>
      <c r="B15" s="10" t="s">
        <v>39</v>
      </c>
      <c r="C15" s="74">
        <v>4</v>
      </c>
      <c r="D15" s="74">
        <v>4</v>
      </c>
      <c r="E15" s="74">
        <v>8</v>
      </c>
      <c r="F15" s="74">
        <v>0</v>
      </c>
      <c r="G15" s="74">
        <v>0</v>
      </c>
      <c r="H15" s="74">
        <v>0</v>
      </c>
      <c r="I15" s="105">
        <v>4</v>
      </c>
      <c r="J15" s="105">
        <v>4</v>
      </c>
      <c r="K15" s="105">
        <v>8</v>
      </c>
      <c r="L15" s="82">
        <v>4</v>
      </c>
      <c r="M15" s="82">
        <v>4</v>
      </c>
      <c r="N15" s="82">
        <v>8</v>
      </c>
      <c r="O15" s="85">
        <v>4</v>
      </c>
      <c r="P15" s="85">
        <v>4</v>
      </c>
      <c r="Q15" s="85">
        <v>8</v>
      </c>
      <c r="R15" s="114">
        <v>4</v>
      </c>
      <c r="S15" s="114">
        <v>4</v>
      </c>
      <c r="T15" s="114">
        <v>8</v>
      </c>
      <c r="U15" s="71">
        <v>0</v>
      </c>
      <c r="V15" s="71">
        <v>0</v>
      </c>
      <c r="W15" s="71">
        <v>0</v>
      </c>
    </row>
    <row r="16" spans="1:26" ht="20.25" customHeight="1" x14ac:dyDescent="0.25">
      <c r="A16" s="10" t="s">
        <v>30</v>
      </c>
      <c r="B16" s="10" t="s">
        <v>40</v>
      </c>
      <c r="C16" s="76"/>
      <c r="D16" s="76"/>
      <c r="E16" s="76"/>
      <c r="F16" s="76"/>
      <c r="G16" s="76">
        <v>0</v>
      </c>
      <c r="H16" s="76">
        <v>0</v>
      </c>
      <c r="I16" s="106"/>
      <c r="J16" s="106"/>
      <c r="K16" s="106"/>
      <c r="L16" s="83"/>
      <c r="M16" s="83"/>
      <c r="N16" s="83"/>
      <c r="O16" s="86"/>
      <c r="P16" s="86"/>
      <c r="Q16" s="86"/>
      <c r="R16" s="115"/>
      <c r="S16" s="115"/>
      <c r="T16" s="115"/>
      <c r="U16" s="72"/>
      <c r="V16" s="72"/>
      <c r="W16" s="72"/>
    </row>
    <row r="17" spans="1:29" x14ac:dyDescent="0.25">
      <c r="A17" s="10" t="s">
        <v>31</v>
      </c>
      <c r="B17" s="10" t="s">
        <v>41</v>
      </c>
      <c r="C17" s="76"/>
      <c r="D17" s="76"/>
      <c r="E17" s="76"/>
      <c r="F17" s="76"/>
      <c r="G17" s="76">
        <v>0</v>
      </c>
      <c r="H17" s="76">
        <v>0</v>
      </c>
      <c r="I17" s="106"/>
      <c r="J17" s="106"/>
      <c r="K17" s="106"/>
      <c r="L17" s="83"/>
      <c r="M17" s="83"/>
      <c r="N17" s="83"/>
      <c r="O17" s="86"/>
      <c r="P17" s="86"/>
      <c r="Q17" s="86"/>
      <c r="R17" s="115"/>
      <c r="S17" s="115"/>
      <c r="T17" s="115"/>
      <c r="U17" s="72"/>
      <c r="V17" s="72"/>
      <c r="W17" s="72"/>
    </row>
    <row r="18" spans="1:29" x14ac:dyDescent="0.25">
      <c r="A18" s="10" t="s">
        <v>32</v>
      </c>
      <c r="B18" s="10" t="s">
        <v>37</v>
      </c>
      <c r="C18" s="76"/>
      <c r="D18" s="76"/>
      <c r="E18" s="76"/>
      <c r="F18" s="76"/>
      <c r="G18" s="76">
        <v>0</v>
      </c>
      <c r="H18" s="76">
        <v>0</v>
      </c>
      <c r="I18" s="106"/>
      <c r="J18" s="106"/>
      <c r="K18" s="106"/>
      <c r="L18" s="83"/>
      <c r="M18" s="83"/>
      <c r="N18" s="83"/>
      <c r="O18" s="86"/>
      <c r="P18" s="86"/>
      <c r="Q18" s="86"/>
      <c r="R18" s="115"/>
      <c r="S18" s="115"/>
      <c r="T18" s="115"/>
      <c r="U18" s="72"/>
      <c r="V18" s="72"/>
      <c r="W18" s="72"/>
      <c r="AC18" s="1" t="s">
        <v>178</v>
      </c>
    </row>
    <row r="19" spans="1:29" x14ac:dyDescent="0.25">
      <c r="A19" s="4" t="s">
        <v>33</v>
      </c>
      <c r="B19" s="10" t="s">
        <v>42</v>
      </c>
      <c r="C19" s="76"/>
      <c r="D19" s="76"/>
      <c r="E19" s="76"/>
      <c r="F19" s="76"/>
      <c r="G19" s="76">
        <v>0</v>
      </c>
      <c r="H19" s="76">
        <v>0</v>
      </c>
      <c r="I19" s="106"/>
      <c r="J19" s="106"/>
      <c r="K19" s="106"/>
      <c r="L19" s="83"/>
      <c r="M19" s="83"/>
      <c r="N19" s="83"/>
      <c r="O19" s="86"/>
      <c r="P19" s="86"/>
      <c r="Q19" s="86"/>
      <c r="R19" s="115"/>
      <c r="S19" s="115"/>
      <c r="T19" s="115"/>
      <c r="U19" s="72"/>
      <c r="V19" s="72"/>
      <c r="W19" s="72"/>
    </row>
    <row r="20" spans="1:29" x14ac:dyDescent="0.25">
      <c r="A20" s="10" t="s">
        <v>34</v>
      </c>
      <c r="B20" s="10" t="s">
        <v>43</v>
      </c>
      <c r="C20" s="75"/>
      <c r="D20" s="75"/>
      <c r="E20" s="75"/>
      <c r="F20" s="75"/>
      <c r="G20" s="75">
        <v>0</v>
      </c>
      <c r="H20" s="75">
        <v>0</v>
      </c>
      <c r="I20" s="107"/>
      <c r="J20" s="107"/>
      <c r="K20" s="107"/>
      <c r="L20" s="84"/>
      <c r="M20" s="84"/>
      <c r="N20" s="84"/>
      <c r="O20" s="87"/>
      <c r="P20" s="87"/>
      <c r="Q20" s="87"/>
      <c r="R20" s="116"/>
      <c r="S20" s="116"/>
      <c r="T20" s="116"/>
      <c r="U20" s="73"/>
      <c r="V20" s="73"/>
      <c r="W20" s="73"/>
    </row>
    <row r="21" spans="1:29" x14ac:dyDescent="0.25">
      <c r="A21" s="2">
        <v>3.2</v>
      </c>
      <c r="B21" s="148" t="s">
        <v>15</v>
      </c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50"/>
    </row>
    <row r="22" spans="1:29" x14ac:dyDescent="0.25">
      <c r="A22" s="10" t="s">
        <v>44</v>
      </c>
      <c r="B22" s="10" t="s">
        <v>50</v>
      </c>
      <c r="C22" s="76">
        <v>4</v>
      </c>
      <c r="D22" s="76">
        <v>4</v>
      </c>
      <c r="E22" s="76">
        <v>0</v>
      </c>
      <c r="F22" s="103">
        <v>4</v>
      </c>
      <c r="G22" s="103">
        <v>4</v>
      </c>
      <c r="H22" s="109">
        <v>0</v>
      </c>
      <c r="I22" s="106">
        <v>4</v>
      </c>
      <c r="J22" s="106">
        <v>4</v>
      </c>
      <c r="K22" s="109">
        <v>0</v>
      </c>
      <c r="L22" s="83">
        <v>4</v>
      </c>
      <c r="M22" s="83">
        <v>4</v>
      </c>
      <c r="N22" s="76">
        <v>0</v>
      </c>
      <c r="O22" s="86">
        <v>4</v>
      </c>
      <c r="P22" s="86">
        <v>4</v>
      </c>
      <c r="Q22" s="76">
        <v>0</v>
      </c>
      <c r="R22" s="115">
        <v>4</v>
      </c>
      <c r="S22" s="115">
        <v>4</v>
      </c>
      <c r="T22" s="76">
        <v>0</v>
      </c>
      <c r="U22" s="66">
        <v>4</v>
      </c>
      <c r="V22" s="66">
        <v>4</v>
      </c>
      <c r="W22" s="66">
        <v>0</v>
      </c>
    </row>
    <row r="23" spans="1:29" x14ac:dyDescent="0.25">
      <c r="A23" s="10" t="s">
        <v>45</v>
      </c>
      <c r="B23" s="10" t="s">
        <v>51</v>
      </c>
      <c r="C23" s="76"/>
      <c r="D23" s="76"/>
      <c r="E23" s="76"/>
      <c r="F23" s="103"/>
      <c r="G23" s="103"/>
      <c r="H23" s="109"/>
      <c r="I23" s="106"/>
      <c r="J23" s="106"/>
      <c r="K23" s="109"/>
      <c r="L23" s="83"/>
      <c r="M23" s="83"/>
      <c r="N23" s="76"/>
      <c r="O23" s="86"/>
      <c r="P23" s="86"/>
      <c r="Q23" s="76"/>
      <c r="R23" s="115"/>
      <c r="S23" s="115"/>
      <c r="T23" s="76"/>
      <c r="U23" s="81"/>
      <c r="V23" s="81"/>
      <c r="W23" s="81"/>
    </row>
    <row r="24" spans="1:29" x14ac:dyDescent="0.25">
      <c r="A24" s="10" t="s">
        <v>46</v>
      </c>
      <c r="B24" s="10" t="s">
        <v>52</v>
      </c>
      <c r="C24" s="76"/>
      <c r="D24" s="76"/>
      <c r="E24" s="76"/>
      <c r="F24" s="103"/>
      <c r="G24" s="103"/>
      <c r="H24" s="109"/>
      <c r="I24" s="106"/>
      <c r="J24" s="106"/>
      <c r="K24" s="109"/>
      <c r="L24" s="83"/>
      <c r="M24" s="83"/>
      <c r="N24" s="76"/>
      <c r="O24" s="86"/>
      <c r="P24" s="86"/>
      <c r="Q24" s="76"/>
      <c r="R24" s="115"/>
      <c r="S24" s="115"/>
      <c r="T24" s="76"/>
      <c r="U24" s="81"/>
      <c r="V24" s="81"/>
      <c r="W24" s="81"/>
    </row>
    <row r="25" spans="1:29" x14ac:dyDescent="0.25">
      <c r="A25" s="10" t="s">
        <v>47</v>
      </c>
      <c r="B25" s="10" t="s">
        <v>53</v>
      </c>
      <c r="C25" s="76"/>
      <c r="D25" s="76"/>
      <c r="E25" s="76"/>
      <c r="F25" s="103"/>
      <c r="G25" s="103"/>
      <c r="H25" s="109"/>
      <c r="I25" s="106"/>
      <c r="J25" s="106"/>
      <c r="K25" s="109"/>
      <c r="L25" s="83"/>
      <c r="M25" s="83"/>
      <c r="N25" s="76"/>
      <c r="O25" s="86"/>
      <c r="P25" s="86"/>
      <c r="Q25" s="76"/>
      <c r="R25" s="115"/>
      <c r="S25" s="115"/>
      <c r="T25" s="76"/>
      <c r="U25" s="81"/>
      <c r="V25" s="81"/>
      <c r="W25" s="81"/>
    </row>
    <row r="26" spans="1:29" x14ac:dyDescent="0.25">
      <c r="A26" s="10" t="s">
        <v>48</v>
      </c>
      <c r="B26" s="10" t="s">
        <v>54</v>
      </c>
      <c r="C26" s="76"/>
      <c r="D26" s="76"/>
      <c r="E26" s="76"/>
      <c r="F26" s="103"/>
      <c r="G26" s="103"/>
      <c r="H26" s="109"/>
      <c r="I26" s="106"/>
      <c r="J26" s="106"/>
      <c r="K26" s="109"/>
      <c r="L26" s="83"/>
      <c r="M26" s="83"/>
      <c r="N26" s="76"/>
      <c r="O26" s="86"/>
      <c r="P26" s="86"/>
      <c r="Q26" s="76"/>
      <c r="R26" s="115"/>
      <c r="S26" s="115"/>
      <c r="T26" s="76"/>
      <c r="U26" s="81"/>
      <c r="V26" s="81"/>
      <c r="W26" s="81"/>
    </row>
    <row r="27" spans="1:29" x14ac:dyDescent="0.25">
      <c r="A27" s="10" t="s">
        <v>49</v>
      </c>
      <c r="B27" s="10" t="s">
        <v>55</v>
      </c>
      <c r="C27" s="75"/>
      <c r="D27" s="75"/>
      <c r="E27" s="75"/>
      <c r="F27" s="104"/>
      <c r="G27" s="104"/>
      <c r="H27" s="110"/>
      <c r="I27" s="107"/>
      <c r="J27" s="107"/>
      <c r="K27" s="110"/>
      <c r="L27" s="84"/>
      <c r="M27" s="84"/>
      <c r="N27" s="75"/>
      <c r="O27" s="87"/>
      <c r="P27" s="87"/>
      <c r="Q27" s="75"/>
      <c r="R27" s="116"/>
      <c r="S27" s="116"/>
      <c r="T27" s="75"/>
      <c r="U27" s="67"/>
      <c r="V27" s="67"/>
      <c r="W27" s="67"/>
    </row>
    <row r="28" spans="1:29" x14ac:dyDescent="0.25">
      <c r="A28" s="2">
        <v>3.3</v>
      </c>
      <c r="B28" s="132" t="s">
        <v>16</v>
      </c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4"/>
    </row>
    <row r="29" spans="1:29" x14ac:dyDescent="0.25">
      <c r="A29" s="10" t="s">
        <v>56</v>
      </c>
      <c r="B29" s="10" t="s">
        <v>63</v>
      </c>
      <c r="C29" s="74">
        <v>4</v>
      </c>
      <c r="D29" s="74">
        <v>0</v>
      </c>
      <c r="E29" s="74">
        <v>8</v>
      </c>
      <c r="F29" s="102">
        <v>4</v>
      </c>
      <c r="G29" s="74">
        <v>0</v>
      </c>
      <c r="H29" s="102">
        <v>7</v>
      </c>
      <c r="I29" s="105">
        <v>4</v>
      </c>
      <c r="J29" s="74">
        <v>0</v>
      </c>
      <c r="K29" s="105">
        <v>8</v>
      </c>
      <c r="L29" s="82">
        <v>4</v>
      </c>
      <c r="M29" s="74">
        <v>0</v>
      </c>
      <c r="N29" s="82">
        <v>8</v>
      </c>
      <c r="O29" s="85">
        <v>4</v>
      </c>
      <c r="P29" s="74">
        <v>0</v>
      </c>
      <c r="Q29" s="85">
        <v>8</v>
      </c>
      <c r="R29" s="114">
        <v>4</v>
      </c>
      <c r="S29" s="74">
        <v>0</v>
      </c>
      <c r="T29" s="114">
        <v>8</v>
      </c>
      <c r="U29" s="71">
        <v>0</v>
      </c>
      <c r="V29" s="71">
        <v>0</v>
      </c>
      <c r="W29" s="71">
        <v>0</v>
      </c>
    </row>
    <row r="30" spans="1:29" x14ac:dyDescent="0.25">
      <c r="A30" s="10" t="s">
        <v>57</v>
      </c>
      <c r="B30" s="10" t="s">
        <v>64</v>
      </c>
      <c r="C30" s="76"/>
      <c r="D30" s="76"/>
      <c r="E30" s="76"/>
      <c r="F30" s="103"/>
      <c r="G30" s="76"/>
      <c r="H30" s="103"/>
      <c r="I30" s="106"/>
      <c r="J30" s="76"/>
      <c r="K30" s="106"/>
      <c r="L30" s="83"/>
      <c r="M30" s="76"/>
      <c r="N30" s="83"/>
      <c r="O30" s="86"/>
      <c r="P30" s="76"/>
      <c r="Q30" s="86"/>
      <c r="R30" s="115"/>
      <c r="S30" s="76"/>
      <c r="T30" s="115"/>
      <c r="U30" s="72"/>
      <c r="V30" s="72"/>
      <c r="W30" s="72"/>
    </row>
    <row r="31" spans="1:29" x14ac:dyDescent="0.25">
      <c r="A31" s="10" t="s">
        <v>58</v>
      </c>
      <c r="B31" s="10" t="s">
        <v>65</v>
      </c>
      <c r="C31" s="75"/>
      <c r="D31" s="75"/>
      <c r="E31" s="75"/>
      <c r="F31" s="104"/>
      <c r="G31" s="75"/>
      <c r="H31" s="104"/>
      <c r="I31" s="107"/>
      <c r="J31" s="75"/>
      <c r="K31" s="107"/>
      <c r="L31" s="84"/>
      <c r="M31" s="75"/>
      <c r="N31" s="84"/>
      <c r="O31" s="87"/>
      <c r="P31" s="75"/>
      <c r="Q31" s="87"/>
      <c r="R31" s="116"/>
      <c r="S31" s="75"/>
      <c r="T31" s="116"/>
      <c r="U31" s="72"/>
      <c r="V31" s="72"/>
      <c r="W31" s="72"/>
    </row>
    <row r="32" spans="1:29" ht="18" customHeight="1" x14ac:dyDescent="0.25">
      <c r="A32" s="10" t="s">
        <v>59</v>
      </c>
      <c r="B32" s="10" t="s">
        <v>66</v>
      </c>
      <c r="C32" s="74">
        <v>4</v>
      </c>
      <c r="D32" s="74">
        <v>8</v>
      </c>
      <c r="E32" s="74">
        <v>8</v>
      </c>
      <c r="F32" s="102">
        <v>4</v>
      </c>
      <c r="G32" s="102">
        <v>8</v>
      </c>
      <c r="H32" s="102">
        <v>4</v>
      </c>
      <c r="I32" s="105">
        <v>4</v>
      </c>
      <c r="J32" s="105">
        <v>8</v>
      </c>
      <c r="K32" s="105">
        <v>8</v>
      </c>
      <c r="L32" s="82">
        <v>4</v>
      </c>
      <c r="M32" s="82">
        <v>8</v>
      </c>
      <c r="N32" s="82">
        <v>8</v>
      </c>
      <c r="O32" s="85">
        <v>4</v>
      </c>
      <c r="P32" s="85">
        <v>8</v>
      </c>
      <c r="Q32" s="85">
        <v>8</v>
      </c>
      <c r="R32" s="114">
        <v>4</v>
      </c>
      <c r="S32" s="114">
        <v>8</v>
      </c>
      <c r="T32" s="114">
        <v>8</v>
      </c>
      <c r="U32" s="72"/>
      <c r="V32" s="72"/>
      <c r="W32" s="72"/>
    </row>
    <row r="33" spans="1:23" x14ac:dyDescent="0.25">
      <c r="A33" s="10" t="s">
        <v>60</v>
      </c>
      <c r="B33" s="10" t="s">
        <v>67</v>
      </c>
      <c r="C33" s="76"/>
      <c r="D33" s="76"/>
      <c r="E33" s="76"/>
      <c r="F33" s="103"/>
      <c r="G33" s="103"/>
      <c r="H33" s="103"/>
      <c r="I33" s="106"/>
      <c r="J33" s="106"/>
      <c r="K33" s="106"/>
      <c r="L33" s="83"/>
      <c r="M33" s="83"/>
      <c r="N33" s="83"/>
      <c r="O33" s="86"/>
      <c r="P33" s="86"/>
      <c r="Q33" s="86"/>
      <c r="R33" s="115"/>
      <c r="S33" s="115"/>
      <c r="T33" s="115"/>
      <c r="U33" s="72"/>
      <c r="V33" s="72"/>
      <c r="W33" s="72"/>
    </row>
    <row r="34" spans="1:23" x14ac:dyDescent="0.25">
      <c r="A34" s="10" t="s">
        <v>61</v>
      </c>
      <c r="B34" s="10" t="s">
        <v>68</v>
      </c>
      <c r="C34" s="76"/>
      <c r="D34" s="76"/>
      <c r="E34" s="76"/>
      <c r="F34" s="103"/>
      <c r="G34" s="103"/>
      <c r="H34" s="103"/>
      <c r="I34" s="106"/>
      <c r="J34" s="106"/>
      <c r="K34" s="106"/>
      <c r="L34" s="83"/>
      <c r="M34" s="83"/>
      <c r="N34" s="83"/>
      <c r="O34" s="86"/>
      <c r="P34" s="86"/>
      <c r="Q34" s="86"/>
      <c r="R34" s="115"/>
      <c r="S34" s="115"/>
      <c r="T34" s="115"/>
      <c r="U34" s="72"/>
      <c r="V34" s="72"/>
      <c r="W34" s="72"/>
    </row>
    <row r="35" spans="1:23" x14ac:dyDescent="0.25">
      <c r="A35" s="10" t="s">
        <v>62</v>
      </c>
      <c r="B35" s="10" t="s">
        <v>69</v>
      </c>
      <c r="C35" s="75"/>
      <c r="D35" s="75"/>
      <c r="E35" s="75"/>
      <c r="F35" s="104"/>
      <c r="G35" s="104"/>
      <c r="H35" s="104"/>
      <c r="I35" s="107"/>
      <c r="J35" s="107"/>
      <c r="K35" s="107"/>
      <c r="L35" s="84"/>
      <c r="M35" s="84"/>
      <c r="N35" s="84"/>
      <c r="O35" s="87"/>
      <c r="P35" s="87"/>
      <c r="Q35" s="87"/>
      <c r="R35" s="116"/>
      <c r="S35" s="116"/>
      <c r="T35" s="116"/>
      <c r="U35" s="72"/>
      <c r="V35" s="72"/>
      <c r="W35" s="72"/>
    </row>
    <row r="36" spans="1:23" x14ac:dyDescent="0.25">
      <c r="A36" s="2">
        <v>3.4</v>
      </c>
      <c r="B36" s="3" t="s">
        <v>17</v>
      </c>
      <c r="C36" s="74">
        <v>4</v>
      </c>
      <c r="D36" s="74">
        <v>16</v>
      </c>
      <c r="E36" s="74">
        <v>8</v>
      </c>
      <c r="F36" s="102">
        <v>4</v>
      </c>
      <c r="G36" s="102">
        <v>16</v>
      </c>
      <c r="H36" s="108">
        <v>0</v>
      </c>
      <c r="I36" s="105">
        <v>4</v>
      </c>
      <c r="J36" s="105">
        <v>16</v>
      </c>
      <c r="K36" s="105">
        <v>8</v>
      </c>
      <c r="L36" s="82">
        <v>4</v>
      </c>
      <c r="M36" s="82">
        <v>16</v>
      </c>
      <c r="N36" s="82">
        <v>24</v>
      </c>
      <c r="O36" s="85">
        <v>4</v>
      </c>
      <c r="P36" s="85">
        <v>16</v>
      </c>
      <c r="Q36" s="85">
        <v>8</v>
      </c>
      <c r="R36" s="114">
        <v>4</v>
      </c>
      <c r="S36" s="114">
        <v>8</v>
      </c>
      <c r="T36" s="114">
        <v>24</v>
      </c>
      <c r="U36" s="72"/>
      <c r="V36" s="72"/>
      <c r="W36" s="72"/>
    </row>
    <row r="37" spans="1:23" x14ac:dyDescent="0.25">
      <c r="A37" s="4" t="s">
        <v>70</v>
      </c>
      <c r="B37" s="10" t="s">
        <v>24</v>
      </c>
      <c r="C37" s="76"/>
      <c r="D37" s="76"/>
      <c r="E37" s="76"/>
      <c r="F37" s="103"/>
      <c r="G37" s="103"/>
      <c r="H37" s="109"/>
      <c r="I37" s="106"/>
      <c r="J37" s="106"/>
      <c r="K37" s="106"/>
      <c r="L37" s="83"/>
      <c r="M37" s="83"/>
      <c r="N37" s="83"/>
      <c r="O37" s="86"/>
      <c r="P37" s="86"/>
      <c r="Q37" s="86"/>
      <c r="R37" s="115"/>
      <c r="S37" s="115"/>
      <c r="T37" s="115"/>
      <c r="U37" s="72"/>
      <c r="V37" s="72"/>
      <c r="W37" s="72"/>
    </row>
    <row r="38" spans="1:23" x14ac:dyDescent="0.25">
      <c r="A38" s="4" t="s">
        <v>71</v>
      </c>
      <c r="B38" s="10" t="s">
        <v>35</v>
      </c>
      <c r="C38" s="76"/>
      <c r="D38" s="76"/>
      <c r="E38" s="76"/>
      <c r="F38" s="103"/>
      <c r="G38" s="103"/>
      <c r="H38" s="109"/>
      <c r="I38" s="106"/>
      <c r="J38" s="106"/>
      <c r="K38" s="106"/>
      <c r="L38" s="83"/>
      <c r="M38" s="83"/>
      <c r="N38" s="83"/>
      <c r="O38" s="86"/>
      <c r="P38" s="86"/>
      <c r="Q38" s="86"/>
      <c r="R38" s="115"/>
      <c r="S38" s="115"/>
      <c r="T38" s="115"/>
      <c r="U38" s="72"/>
      <c r="V38" s="72"/>
      <c r="W38" s="72"/>
    </row>
    <row r="39" spans="1:23" x14ac:dyDescent="0.25">
      <c r="A39" s="4" t="s">
        <v>72</v>
      </c>
      <c r="B39" s="10" t="s">
        <v>37</v>
      </c>
      <c r="C39" s="75"/>
      <c r="D39" s="75"/>
      <c r="E39" s="75"/>
      <c r="F39" s="104"/>
      <c r="G39" s="104"/>
      <c r="H39" s="110"/>
      <c r="I39" s="107"/>
      <c r="J39" s="107"/>
      <c r="K39" s="107"/>
      <c r="L39" s="84"/>
      <c r="M39" s="84"/>
      <c r="N39" s="84"/>
      <c r="O39" s="87"/>
      <c r="P39" s="87"/>
      <c r="Q39" s="87"/>
      <c r="R39" s="116"/>
      <c r="S39" s="116"/>
      <c r="T39" s="116"/>
      <c r="U39" s="73"/>
      <c r="V39" s="73"/>
      <c r="W39" s="73"/>
    </row>
    <row r="40" spans="1:23" s="28" customFormat="1" x14ac:dyDescent="0.25">
      <c r="A40" s="143" t="s">
        <v>160</v>
      </c>
      <c r="B40" s="144"/>
      <c r="C40" s="22">
        <f>C36+C32+C29+C22+C15+C12+C9</f>
        <v>28</v>
      </c>
      <c r="D40" s="22">
        <f t="shared" ref="D40:W40" si="1">D36+D32+D29+D22+D15+D12+D9</f>
        <v>40</v>
      </c>
      <c r="E40" s="22">
        <f t="shared" si="1"/>
        <v>56</v>
      </c>
      <c r="F40" s="23">
        <f t="shared" si="1"/>
        <v>24</v>
      </c>
      <c r="G40" s="23">
        <f t="shared" si="1"/>
        <v>36</v>
      </c>
      <c r="H40" s="23">
        <f t="shared" si="1"/>
        <v>11</v>
      </c>
      <c r="I40" s="24">
        <f t="shared" si="1"/>
        <v>28</v>
      </c>
      <c r="J40" s="24">
        <f t="shared" si="1"/>
        <v>40</v>
      </c>
      <c r="K40" s="24">
        <f t="shared" si="1"/>
        <v>56</v>
      </c>
      <c r="L40" s="25">
        <f t="shared" si="1"/>
        <v>28</v>
      </c>
      <c r="M40" s="25">
        <f t="shared" si="1"/>
        <v>40</v>
      </c>
      <c r="N40" s="25">
        <f t="shared" si="1"/>
        <v>72</v>
      </c>
      <c r="O40" s="26">
        <f t="shared" si="1"/>
        <v>28</v>
      </c>
      <c r="P40" s="26">
        <f t="shared" si="1"/>
        <v>40</v>
      </c>
      <c r="Q40" s="26">
        <f t="shared" si="1"/>
        <v>56</v>
      </c>
      <c r="R40" s="38">
        <f t="shared" si="1"/>
        <v>28</v>
      </c>
      <c r="S40" s="38">
        <f t="shared" si="1"/>
        <v>32</v>
      </c>
      <c r="T40" s="38">
        <f t="shared" si="1"/>
        <v>72</v>
      </c>
      <c r="U40" s="38">
        <f t="shared" si="1"/>
        <v>12</v>
      </c>
      <c r="V40" s="38">
        <f t="shared" si="1"/>
        <v>8</v>
      </c>
      <c r="W40" s="38">
        <f t="shared" si="1"/>
        <v>8</v>
      </c>
    </row>
    <row r="41" spans="1:23" x14ac:dyDescent="0.25">
      <c r="A41" s="2">
        <v>4</v>
      </c>
      <c r="B41" s="132" t="s">
        <v>159</v>
      </c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4"/>
    </row>
    <row r="42" spans="1:23" x14ac:dyDescent="0.25">
      <c r="A42" s="4">
        <v>4.0999999999999996</v>
      </c>
      <c r="B42" s="10" t="s">
        <v>78</v>
      </c>
      <c r="C42" s="4">
        <v>8</v>
      </c>
      <c r="D42" s="4">
        <v>0</v>
      </c>
      <c r="E42" s="4">
        <v>8</v>
      </c>
      <c r="F42" s="4">
        <v>0</v>
      </c>
      <c r="G42" s="4">
        <v>0</v>
      </c>
      <c r="H42" s="4">
        <v>0</v>
      </c>
      <c r="I42" s="6">
        <v>8</v>
      </c>
      <c r="J42" s="6">
        <v>0</v>
      </c>
      <c r="K42" s="6">
        <v>0</v>
      </c>
      <c r="L42" s="7">
        <v>8</v>
      </c>
      <c r="M42" s="7">
        <v>0</v>
      </c>
      <c r="N42" s="7">
        <v>8</v>
      </c>
      <c r="O42" s="8">
        <v>8</v>
      </c>
      <c r="P42" s="8">
        <v>0</v>
      </c>
      <c r="Q42" s="8">
        <v>0</v>
      </c>
      <c r="R42" s="12">
        <v>8</v>
      </c>
      <c r="S42" s="12">
        <v>0</v>
      </c>
      <c r="T42" s="12">
        <v>8</v>
      </c>
      <c r="U42" s="56">
        <v>8</v>
      </c>
      <c r="V42" s="56">
        <v>0</v>
      </c>
      <c r="W42" s="56">
        <v>0</v>
      </c>
    </row>
    <row r="43" spans="1:23" ht="19.5" customHeight="1" x14ac:dyDescent="0.25">
      <c r="A43" s="4">
        <f>A42+0.1</f>
        <v>4.1999999999999993</v>
      </c>
      <c r="B43" s="10" t="s">
        <v>74</v>
      </c>
      <c r="C43" s="4">
        <v>8</v>
      </c>
      <c r="D43" s="4">
        <v>0</v>
      </c>
      <c r="E43" s="4">
        <v>8</v>
      </c>
      <c r="F43" s="4">
        <v>0</v>
      </c>
      <c r="G43" s="4">
        <v>0</v>
      </c>
      <c r="H43" s="4">
        <v>0</v>
      </c>
      <c r="I43" s="6">
        <v>8</v>
      </c>
      <c r="J43" s="6">
        <v>0</v>
      </c>
      <c r="K43" s="6">
        <v>0</v>
      </c>
      <c r="L43" s="7">
        <v>8</v>
      </c>
      <c r="M43" s="7">
        <v>0</v>
      </c>
      <c r="N43" s="7">
        <v>8</v>
      </c>
      <c r="O43" s="8">
        <v>8</v>
      </c>
      <c r="P43" s="8">
        <v>0</v>
      </c>
      <c r="Q43" s="8">
        <v>0</v>
      </c>
      <c r="R43" s="12">
        <v>8</v>
      </c>
      <c r="S43" s="12">
        <v>0</v>
      </c>
      <c r="T43" s="12">
        <v>8</v>
      </c>
      <c r="U43" s="56">
        <v>8</v>
      </c>
      <c r="V43" s="56">
        <v>0</v>
      </c>
      <c r="W43" s="56">
        <v>0</v>
      </c>
    </row>
    <row r="44" spans="1:23" x14ac:dyDescent="0.25">
      <c r="A44" s="4">
        <f t="shared" ref="A44:A53" si="2">A43+0.1</f>
        <v>4.2999999999999989</v>
      </c>
      <c r="B44" s="10" t="s">
        <v>75</v>
      </c>
      <c r="C44" s="4">
        <v>8</v>
      </c>
      <c r="D44" s="4">
        <v>0</v>
      </c>
      <c r="E44" s="4">
        <v>8</v>
      </c>
      <c r="F44" s="4">
        <v>0</v>
      </c>
      <c r="G44" s="4">
        <v>0</v>
      </c>
      <c r="H44" s="4">
        <v>0</v>
      </c>
      <c r="I44" s="6">
        <v>8</v>
      </c>
      <c r="J44" s="6">
        <v>0</v>
      </c>
      <c r="K44" s="6">
        <v>0</v>
      </c>
      <c r="L44" s="7">
        <v>8</v>
      </c>
      <c r="M44" s="7">
        <v>0</v>
      </c>
      <c r="N44" s="7">
        <v>8</v>
      </c>
      <c r="O44" s="8">
        <v>8</v>
      </c>
      <c r="P44" s="8">
        <v>0</v>
      </c>
      <c r="Q44" s="8">
        <v>0</v>
      </c>
      <c r="R44" s="12">
        <v>8</v>
      </c>
      <c r="S44" s="12">
        <v>0</v>
      </c>
      <c r="T44" s="12">
        <v>8</v>
      </c>
      <c r="U44" s="56">
        <v>8</v>
      </c>
      <c r="V44" s="56">
        <v>0</v>
      </c>
      <c r="W44" s="56">
        <v>0</v>
      </c>
    </row>
    <row r="45" spans="1:23" x14ac:dyDescent="0.25">
      <c r="A45" s="4">
        <f t="shared" si="2"/>
        <v>4.3999999999999986</v>
      </c>
      <c r="B45" s="10" t="s">
        <v>76</v>
      </c>
      <c r="C45" s="4">
        <v>8</v>
      </c>
      <c r="D45" s="4">
        <v>0</v>
      </c>
      <c r="E45" s="4">
        <v>8</v>
      </c>
      <c r="F45" s="4">
        <v>0</v>
      </c>
      <c r="G45" s="4">
        <v>0</v>
      </c>
      <c r="H45" s="4">
        <v>0</v>
      </c>
      <c r="I45" s="6">
        <v>8</v>
      </c>
      <c r="J45" s="6">
        <v>0</v>
      </c>
      <c r="K45" s="6">
        <v>0</v>
      </c>
      <c r="L45" s="7">
        <v>8</v>
      </c>
      <c r="M45" s="7">
        <v>0</v>
      </c>
      <c r="N45" s="7">
        <v>8</v>
      </c>
      <c r="O45" s="8">
        <v>8</v>
      </c>
      <c r="P45" s="8">
        <v>0</v>
      </c>
      <c r="Q45" s="8">
        <v>0</v>
      </c>
      <c r="R45" s="12">
        <v>8</v>
      </c>
      <c r="S45" s="12">
        <v>0</v>
      </c>
      <c r="T45" s="12">
        <v>8</v>
      </c>
      <c r="U45" s="56">
        <v>8</v>
      </c>
      <c r="V45" s="56">
        <v>0</v>
      </c>
      <c r="W45" s="56">
        <v>0</v>
      </c>
    </row>
    <row r="46" spans="1:23" x14ac:dyDescent="0.25">
      <c r="A46" s="4">
        <f t="shared" si="2"/>
        <v>4.4999999999999982</v>
      </c>
      <c r="B46" s="10" t="s">
        <v>82</v>
      </c>
      <c r="C46" s="4">
        <v>8</v>
      </c>
      <c r="D46" s="4">
        <v>0</v>
      </c>
      <c r="E46" s="4">
        <v>8</v>
      </c>
      <c r="F46" s="4">
        <v>0</v>
      </c>
      <c r="G46" s="4">
        <v>0</v>
      </c>
      <c r="H46" s="4">
        <v>0</v>
      </c>
      <c r="I46" s="6">
        <v>8</v>
      </c>
      <c r="J46" s="6">
        <v>0</v>
      </c>
      <c r="K46" s="6">
        <v>0</v>
      </c>
      <c r="L46" s="7">
        <v>8</v>
      </c>
      <c r="M46" s="7">
        <v>0</v>
      </c>
      <c r="N46" s="7">
        <v>8</v>
      </c>
      <c r="O46" s="8">
        <v>8</v>
      </c>
      <c r="P46" s="8">
        <v>0</v>
      </c>
      <c r="Q46" s="8">
        <v>0</v>
      </c>
      <c r="R46" s="12">
        <v>8</v>
      </c>
      <c r="S46" s="12">
        <v>0</v>
      </c>
      <c r="T46" s="12">
        <v>8</v>
      </c>
      <c r="U46" s="56">
        <v>8</v>
      </c>
      <c r="V46" s="56">
        <v>0</v>
      </c>
      <c r="W46" s="56">
        <v>0</v>
      </c>
    </row>
    <row r="47" spans="1:23" x14ac:dyDescent="0.25">
      <c r="A47" s="4">
        <f t="shared" si="2"/>
        <v>4.5999999999999979</v>
      </c>
      <c r="B47" s="10" t="s">
        <v>91</v>
      </c>
      <c r="C47" s="4">
        <v>8</v>
      </c>
      <c r="D47" s="4">
        <v>0</v>
      </c>
      <c r="E47" s="4">
        <v>8</v>
      </c>
      <c r="F47" s="4">
        <v>0</v>
      </c>
      <c r="G47" s="4">
        <v>0</v>
      </c>
      <c r="H47" s="4">
        <v>0</v>
      </c>
      <c r="I47" s="63">
        <v>0</v>
      </c>
      <c r="J47" s="63">
        <v>0</v>
      </c>
      <c r="K47" s="63">
        <v>0</v>
      </c>
      <c r="L47" s="7">
        <v>8</v>
      </c>
      <c r="M47" s="7">
        <v>0</v>
      </c>
      <c r="N47" s="7">
        <v>8</v>
      </c>
      <c r="O47" s="8">
        <v>8</v>
      </c>
      <c r="P47" s="8">
        <v>0</v>
      </c>
      <c r="Q47" s="8">
        <v>0</v>
      </c>
      <c r="R47" s="12">
        <v>8</v>
      </c>
      <c r="S47" s="12">
        <v>0</v>
      </c>
      <c r="T47" s="12">
        <v>8</v>
      </c>
      <c r="U47" s="63">
        <v>0</v>
      </c>
      <c r="V47" s="63">
        <v>0</v>
      </c>
      <c r="W47" s="63">
        <v>0</v>
      </c>
    </row>
    <row r="48" spans="1:23" x14ac:dyDescent="0.25">
      <c r="A48" s="4">
        <f>A60+0.01</f>
        <v>4.169999999999999</v>
      </c>
      <c r="B48" s="10" t="s">
        <v>84</v>
      </c>
      <c r="C48" s="4">
        <v>8</v>
      </c>
      <c r="D48" s="4">
        <v>0</v>
      </c>
      <c r="E48" s="4">
        <v>8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7">
        <v>8</v>
      </c>
      <c r="M48" s="7">
        <v>0</v>
      </c>
      <c r="N48" s="7">
        <v>8</v>
      </c>
      <c r="O48" s="8">
        <v>8</v>
      </c>
      <c r="P48" s="8">
        <v>0</v>
      </c>
      <c r="Q48" s="8">
        <v>0</v>
      </c>
      <c r="R48" s="12">
        <v>8</v>
      </c>
      <c r="S48" s="12">
        <v>0</v>
      </c>
      <c r="T48" s="12">
        <v>8</v>
      </c>
      <c r="U48" s="11">
        <v>0</v>
      </c>
      <c r="V48" s="11">
        <v>0</v>
      </c>
      <c r="W48" s="11">
        <v>0</v>
      </c>
    </row>
    <row r="49" spans="1:23" x14ac:dyDescent="0.25">
      <c r="A49" s="4">
        <f>A48+0.01</f>
        <v>4.1799999999999988</v>
      </c>
      <c r="B49" s="10" t="s">
        <v>86</v>
      </c>
      <c r="C49" s="4">
        <v>8</v>
      </c>
      <c r="D49" s="4">
        <v>0</v>
      </c>
      <c r="E49" s="4">
        <v>8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7">
        <v>8</v>
      </c>
      <c r="M49" s="7">
        <v>0</v>
      </c>
      <c r="N49" s="7">
        <v>8</v>
      </c>
      <c r="O49" s="8">
        <v>8</v>
      </c>
      <c r="P49" s="8">
        <v>0</v>
      </c>
      <c r="Q49" s="8">
        <v>0</v>
      </c>
      <c r="R49" s="12">
        <v>8</v>
      </c>
      <c r="S49" s="12">
        <v>0</v>
      </c>
      <c r="T49" s="12">
        <v>8</v>
      </c>
      <c r="U49" s="11">
        <v>0</v>
      </c>
      <c r="V49" s="11">
        <v>0</v>
      </c>
      <c r="W49" s="11">
        <v>0</v>
      </c>
    </row>
    <row r="50" spans="1:23" x14ac:dyDescent="0.25">
      <c r="A50" s="4">
        <f>A49+0.01</f>
        <v>4.1899999999999986</v>
      </c>
      <c r="B50" s="10" t="s">
        <v>85</v>
      </c>
      <c r="C50" s="4">
        <v>8</v>
      </c>
      <c r="D50" s="4">
        <v>0</v>
      </c>
      <c r="E50" s="4">
        <v>8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7">
        <v>8</v>
      </c>
      <c r="M50" s="7">
        <v>0</v>
      </c>
      <c r="N50" s="7">
        <v>8</v>
      </c>
      <c r="O50" s="8">
        <v>8</v>
      </c>
      <c r="P50" s="8">
        <v>0</v>
      </c>
      <c r="Q50" s="8">
        <v>0</v>
      </c>
      <c r="R50" s="12">
        <v>8</v>
      </c>
      <c r="S50" s="12">
        <v>0</v>
      </c>
      <c r="T50" s="12">
        <v>8</v>
      </c>
      <c r="U50" s="11">
        <v>0</v>
      </c>
      <c r="V50" s="11">
        <v>0</v>
      </c>
      <c r="W50" s="11">
        <v>0</v>
      </c>
    </row>
    <row r="51" spans="1:23" x14ac:dyDescent="0.25">
      <c r="A51" s="4">
        <f>A47+0.1</f>
        <v>4.6999999999999975</v>
      </c>
      <c r="B51" s="1" t="s">
        <v>83</v>
      </c>
      <c r="C51" s="4">
        <v>8</v>
      </c>
      <c r="D51" s="4">
        <v>0</v>
      </c>
      <c r="E51" s="4">
        <v>8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7">
        <v>8</v>
      </c>
      <c r="M51" s="7">
        <v>0</v>
      </c>
      <c r="N51" s="7">
        <v>8</v>
      </c>
      <c r="O51" s="11">
        <v>0</v>
      </c>
      <c r="P51" s="11">
        <v>0</v>
      </c>
      <c r="Q51" s="11">
        <v>0</v>
      </c>
      <c r="R51" s="12">
        <v>8</v>
      </c>
      <c r="S51" s="12">
        <v>0</v>
      </c>
      <c r="T51" s="12">
        <v>8</v>
      </c>
      <c r="U51" s="11">
        <v>0</v>
      </c>
      <c r="V51" s="11">
        <v>0</v>
      </c>
      <c r="W51" s="11">
        <v>0</v>
      </c>
    </row>
    <row r="52" spans="1:23" x14ac:dyDescent="0.25">
      <c r="A52" s="4">
        <f t="shared" si="2"/>
        <v>4.7999999999999972</v>
      </c>
      <c r="B52" s="1" t="s">
        <v>89</v>
      </c>
      <c r="C52" s="4">
        <v>8</v>
      </c>
      <c r="D52" s="4">
        <v>0</v>
      </c>
      <c r="E52" s="4">
        <v>8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7">
        <v>8</v>
      </c>
      <c r="M52" s="7">
        <v>0</v>
      </c>
      <c r="N52" s="7">
        <v>8</v>
      </c>
      <c r="O52" s="11">
        <v>0</v>
      </c>
      <c r="P52" s="11">
        <v>0</v>
      </c>
      <c r="Q52" s="11">
        <v>0</v>
      </c>
      <c r="R52" s="12">
        <v>8</v>
      </c>
      <c r="S52" s="12">
        <v>0</v>
      </c>
      <c r="T52" s="12">
        <v>8</v>
      </c>
      <c r="U52" s="11">
        <v>0</v>
      </c>
      <c r="V52" s="11">
        <v>0</v>
      </c>
      <c r="W52" s="11">
        <v>0</v>
      </c>
    </row>
    <row r="53" spans="1:23" x14ac:dyDescent="0.25">
      <c r="A53" s="4">
        <f t="shared" si="2"/>
        <v>4.8999999999999968</v>
      </c>
      <c r="B53" s="1" t="s">
        <v>79</v>
      </c>
      <c r="C53" s="4">
        <v>8</v>
      </c>
      <c r="D53" s="4">
        <v>0</v>
      </c>
      <c r="E53" s="4">
        <v>8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7">
        <v>8</v>
      </c>
      <c r="M53" s="7">
        <v>0</v>
      </c>
      <c r="N53" s="7">
        <v>8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</row>
    <row r="54" spans="1:23" x14ac:dyDescent="0.25">
      <c r="A54" s="14">
        <v>4.0999999999999996</v>
      </c>
      <c r="B54" s="1" t="s">
        <v>80</v>
      </c>
      <c r="C54" s="4">
        <v>8</v>
      </c>
      <c r="D54" s="4">
        <v>0</v>
      </c>
      <c r="E54" s="4">
        <v>8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7">
        <v>8</v>
      </c>
      <c r="M54" s="7">
        <v>0</v>
      </c>
      <c r="N54" s="7">
        <v>8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</row>
    <row r="55" spans="1:23" x14ac:dyDescent="0.25">
      <c r="A55" s="4">
        <v>4.1100000000000003</v>
      </c>
      <c r="B55" s="1" t="s">
        <v>90</v>
      </c>
      <c r="C55" s="4">
        <v>8</v>
      </c>
      <c r="D55" s="4">
        <v>0</v>
      </c>
      <c r="E55" s="4">
        <v>8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7">
        <v>8</v>
      </c>
      <c r="M55" s="7">
        <v>0</v>
      </c>
      <c r="N55" s="7">
        <v>8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</row>
    <row r="56" spans="1:23" x14ac:dyDescent="0.25">
      <c r="A56" s="4">
        <f>A55+0.01</f>
        <v>4.12</v>
      </c>
      <c r="B56" s="1" t="s">
        <v>81</v>
      </c>
      <c r="C56" s="4">
        <v>8</v>
      </c>
      <c r="D56" s="4">
        <v>0</v>
      </c>
      <c r="E56" s="4">
        <v>8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7">
        <v>8</v>
      </c>
      <c r="M56" s="7">
        <v>0</v>
      </c>
      <c r="N56" s="7">
        <v>8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</row>
    <row r="57" spans="1:23" x14ac:dyDescent="0.25">
      <c r="A57" s="4">
        <f t="shared" ref="A57:A59" si="3">A56+0.01</f>
        <v>4.13</v>
      </c>
      <c r="B57" s="10" t="s">
        <v>77</v>
      </c>
      <c r="C57" s="4">
        <v>8</v>
      </c>
      <c r="D57" s="4">
        <v>0</v>
      </c>
      <c r="E57" s="4">
        <v>8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7">
        <v>8</v>
      </c>
      <c r="M57" s="7">
        <v>0</v>
      </c>
      <c r="N57" s="7">
        <v>8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</row>
    <row r="58" spans="1:23" x14ac:dyDescent="0.25">
      <c r="A58" s="4">
        <f t="shared" si="3"/>
        <v>4.1399999999999997</v>
      </c>
      <c r="B58" s="10" t="s">
        <v>73</v>
      </c>
      <c r="C58" s="4">
        <v>8</v>
      </c>
      <c r="D58" s="4">
        <v>0</v>
      </c>
      <c r="E58" s="4">
        <v>8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7">
        <v>8</v>
      </c>
      <c r="M58" s="7">
        <v>0</v>
      </c>
      <c r="N58" s="7">
        <v>8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</row>
    <row r="59" spans="1:23" x14ac:dyDescent="0.25">
      <c r="A59" s="4">
        <f t="shared" si="3"/>
        <v>4.1499999999999995</v>
      </c>
      <c r="B59" s="10" t="s">
        <v>87</v>
      </c>
      <c r="C59" s="4">
        <v>8</v>
      </c>
      <c r="D59" s="4">
        <v>0</v>
      </c>
      <c r="E59" s="4">
        <v>8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7">
        <v>8</v>
      </c>
      <c r="M59" s="7">
        <v>0</v>
      </c>
      <c r="N59" s="7">
        <v>8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</row>
    <row r="60" spans="1:23" x14ac:dyDescent="0.25">
      <c r="A60" s="4">
        <f>A59+0.01</f>
        <v>4.1599999999999993</v>
      </c>
      <c r="B60" s="10" t="s">
        <v>88</v>
      </c>
      <c r="C60" s="4">
        <v>8</v>
      </c>
      <c r="D60" s="4">
        <v>0</v>
      </c>
      <c r="E60" s="4">
        <v>8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7">
        <v>8</v>
      </c>
      <c r="M60" s="7">
        <v>0</v>
      </c>
      <c r="N60" s="7">
        <v>8</v>
      </c>
      <c r="O60" s="8">
        <v>8</v>
      </c>
      <c r="P60" s="8">
        <v>0</v>
      </c>
      <c r="Q60" s="8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</row>
    <row r="61" spans="1:23" s="28" customFormat="1" x14ac:dyDescent="0.25">
      <c r="A61" s="143" t="s">
        <v>160</v>
      </c>
      <c r="B61" s="144"/>
      <c r="C61" s="20">
        <f>C60+C59+C58+C57+C56+C55+C54+C53+C52+C51+C50+C49+C48+C47+C46+C45+C44+C43+C42</f>
        <v>152</v>
      </c>
      <c r="D61" s="20">
        <f t="shared" ref="D61:W61" si="4">D60+D59+D58+D57+D56+D55+D54+D53+D52+D51+D50+D49+D48+D47+D46+D45+D44+D43+D42</f>
        <v>0</v>
      </c>
      <c r="E61" s="20">
        <f t="shared" si="4"/>
        <v>152</v>
      </c>
      <c r="F61" s="34">
        <f t="shared" si="4"/>
        <v>0</v>
      </c>
      <c r="G61" s="34">
        <f t="shared" si="4"/>
        <v>0</v>
      </c>
      <c r="H61" s="34">
        <f t="shared" si="4"/>
        <v>0</v>
      </c>
      <c r="I61" s="35">
        <f t="shared" si="4"/>
        <v>40</v>
      </c>
      <c r="J61" s="35">
        <f t="shared" si="4"/>
        <v>0</v>
      </c>
      <c r="K61" s="35">
        <f t="shared" si="4"/>
        <v>0</v>
      </c>
      <c r="L61" s="36">
        <f t="shared" si="4"/>
        <v>152</v>
      </c>
      <c r="M61" s="36">
        <f t="shared" si="4"/>
        <v>0</v>
      </c>
      <c r="N61" s="36">
        <f t="shared" si="4"/>
        <v>152</v>
      </c>
      <c r="O61" s="37">
        <f t="shared" si="4"/>
        <v>80</v>
      </c>
      <c r="P61" s="37">
        <f t="shared" si="4"/>
        <v>0</v>
      </c>
      <c r="Q61" s="37">
        <f t="shared" si="4"/>
        <v>0</v>
      </c>
      <c r="R61" s="21">
        <f t="shared" si="4"/>
        <v>88</v>
      </c>
      <c r="S61" s="21">
        <f t="shared" si="4"/>
        <v>0</v>
      </c>
      <c r="T61" s="21">
        <f t="shared" si="4"/>
        <v>88</v>
      </c>
      <c r="U61" s="57">
        <f t="shared" si="4"/>
        <v>40</v>
      </c>
      <c r="V61" s="57">
        <f t="shared" si="4"/>
        <v>0</v>
      </c>
      <c r="W61" s="57">
        <f t="shared" si="4"/>
        <v>0</v>
      </c>
    </row>
    <row r="62" spans="1:23" s="28" customFormat="1" x14ac:dyDescent="0.25">
      <c r="A62" s="2">
        <v>5</v>
      </c>
      <c r="B62" s="132" t="s">
        <v>162</v>
      </c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4"/>
    </row>
    <row r="63" spans="1:23" x14ac:dyDescent="0.25">
      <c r="A63" s="2">
        <v>5.0999999999999996</v>
      </c>
      <c r="B63" s="132" t="s">
        <v>18</v>
      </c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4"/>
    </row>
    <row r="64" spans="1:23" x14ac:dyDescent="0.25">
      <c r="A64" s="4" t="s">
        <v>93</v>
      </c>
      <c r="B64" s="10" t="s">
        <v>179</v>
      </c>
      <c r="C64" s="74">
        <v>4</v>
      </c>
      <c r="D64" s="74">
        <v>4</v>
      </c>
      <c r="E64" s="74">
        <v>8</v>
      </c>
      <c r="F64" s="74">
        <v>0</v>
      </c>
      <c r="G64" s="74">
        <v>0</v>
      </c>
      <c r="H64" s="74">
        <v>0</v>
      </c>
      <c r="I64" s="105">
        <v>4</v>
      </c>
      <c r="J64" s="105">
        <v>4</v>
      </c>
      <c r="K64" s="105">
        <v>8</v>
      </c>
      <c r="L64" s="82">
        <v>4</v>
      </c>
      <c r="M64" s="82">
        <v>4</v>
      </c>
      <c r="N64" s="82">
        <v>8</v>
      </c>
      <c r="O64" s="74">
        <v>0</v>
      </c>
      <c r="P64" s="74">
        <v>0</v>
      </c>
      <c r="Q64" s="74">
        <v>0</v>
      </c>
      <c r="R64" s="74">
        <v>0</v>
      </c>
      <c r="S64" s="74">
        <v>0</v>
      </c>
      <c r="T64" s="74">
        <v>0</v>
      </c>
      <c r="U64" s="66">
        <v>4</v>
      </c>
      <c r="V64" s="66">
        <v>4</v>
      </c>
      <c r="W64" s="66">
        <v>8</v>
      </c>
    </row>
    <row r="65" spans="1:23" ht="15" customHeight="1" x14ac:dyDescent="0.25">
      <c r="A65" s="4" t="s">
        <v>94</v>
      </c>
      <c r="B65" s="10" t="s">
        <v>111</v>
      </c>
      <c r="C65" s="76"/>
      <c r="D65" s="76"/>
      <c r="E65" s="76"/>
      <c r="F65" s="76"/>
      <c r="G65" s="76">
        <v>0</v>
      </c>
      <c r="H65" s="76">
        <v>0</v>
      </c>
      <c r="I65" s="106"/>
      <c r="J65" s="106">
        <v>6</v>
      </c>
      <c r="K65" s="106">
        <v>4</v>
      </c>
      <c r="L65" s="83"/>
      <c r="M65" s="83">
        <v>6</v>
      </c>
      <c r="N65" s="83">
        <v>4</v>
      </c>
      <c r="O65" s="76"/>
      <c r="P65" s="76">
        <v>0</v>
      </c>
      <c r="Q65" s="76">
        <v>0</v>
      </c>
      <c r="R65" s="76">
        <v>0</v>
      </c>
      <c r="S65" s="76">
        <v>0</v>
      </c>
      <c r="T65" s="76">
        <v>0</v>
      </c>
      <c r="U65" s="81"/>
      <c r="V65" s="81"/>
      <c r="W65" s="81"/>
    </row>
    <row r="66" spans="1:23" ht="15.75" customHeight="1" x14ac:dyDescent="0.25">
      <c r="A66" s="4" t="s">
        <v>95</v>
      </c>
      <c r="B66" s="10" t="s">
        <v>112</v>
      </c>
      <c r="C66" s="75"/>
      <c r="D66" s="75"/>
      <c r="E66" s="75"/>
      <c r="F66" s="75"/>
      <c r="G66" s="75">
        <v>0</v>
      </c>
      <c r="H66" s="75">
        <v>0</v>
      </c>
      <c r="I66" s="107"/>
      <c r="J66" s="107">
        <v>4</v>
      </c>
      <c r="K66" s="107">
        <v>4</v>
      </c>
      <c r="L66" s="84"/>
      <c r="M66" s="84">
        <v>4</v>
      </c>
      <c r="N66" s="84">
        <v>4</v>
      </c>
      <c r="O66" s="75"/>
      <c r="P66" s="75">
        <v>0</v>
      </c>
      <c r="Q66" s="75">
        <v>0</v>
      </c>
      <c r="R66" s="75">
        <v>0</v>
      </c>
      <c r="S66" s="75">
        <v>0</v>
      </c>
      <c r="T66" s="75">
        <v>0</v>
      </c>
      <c r="U66" s="67"/>
      <c r="V66" s="67"/>
      <c r="W66" s="67"/>
    </row>
    <row r="67" spans="1:23" ht="15.75" customHeight="1" x14ac:dyDescent="0.25">
      <c r="A67" s="4" t="s">
        <v>96</v>
      </c>
      <c r="B67" s="10" t="s">
        <v>109</v>
      </c>
      <c r="C67" s="74">
        <v>4</v>
      </c>
      <c r="D67" s="74">
        <v>4</v>
      </c>
      <c r="E67" s="74">
        <v>8</v>
      </c>
      <c r="F67" s="74">
        <v>0</v>
      </c>
      <c r="G67" s="74">
        <v>0</v>
      </c>
      <c r="H67" s="74">
        <v>0</v>
      </c>
      <c r="I67" s="105">
        <v>4</v>
      </c>
      <c r="J67" s="105">
        <v>4</v>
      </c>
      <c r="K67" s="105">
        <v>8</v>
      </c>
      <c r="L67" s="82">
        <v>4</v>
      </c>
      <c r="M67" s="82">
        <v>4</v>
      </c>
      <c r="N67" s="82">
        <v>8</v>
      </c>
      <c r="O67" s="74">
        <v>0</v>
      </c>
      <c r="P67" s="74">
        <v>0</v>
      </c>
      <c r="Q67" s="74">
        <v>0</v>
      </c>
      <c r="R67" s="74">
        <v>0</v>
      </c>
      <c r="S67" s="74">
        <v>0</v>
      </c>
      <c r="T67" s="74">
        <v>0</v>
      </c>
      <c r="U67" s="74">
        <v>0</v>
      </c>
      <c r="V67" s="74">
        <v>0</v>
      </c>
      <c r="W67" s="74">
        <v>0</v>
      </c>
    </row>
    <row r="68" spans="1:23" x14ac:dyDescent="0.25">
      <c r="A68" s="4" t="s">
        <v>97</v>
      </c>
      <c r="B68" s="10" t="s">
        <v>110</v>
      </c>
      <c r="C68" s="76"/>
      <c r="D68" s="76">
        <v>4</v>
      </c>
      <c r="E68" s="76">
        <v>8</v>
      </c>
      <c r="F68" s="76">
        <v>0</v>
      </c>
      <c r="G68" s="76">
        <v>0</v>
      </c>
      <c r="H68" s="76">
        <v>0</v>
      </c>
      <c r="I68" s="106"/>
      <c r="J68" s="106">
        <v>4</v>
      </c>
      <c r="K68" s="106">
        <v>8</v>
      </c>
      <c r="L68" s="83"/>
      <c r="M68" s="83">
        <v>4</v>
      </c>
      <c r="N68" s="83">
        <v>8</v>
      </c>
      <c r="O68" s="76"/>
      <c r="P68" s="76">
        <v>0</v>
      </c>
      <c r="Q68" s="76">
        <v>0</v>
      </c>
      <c r="R68" s="76">
        <v>0</v>
      </c>
      <c r="S68" s="76">
        <v>0</v>
      </c>
      <c r="T68" s="76">
        <v>0</v>
      </c>
      <c r="U68" s="76">
        <v>0</v>
      </c>
      <c r="V68" s="76">
        <v>0</v>
      </c>
      <c r="W68" s="76">
        <v>0</v>
      </c>
    </row>
    <row r="69" spans="1:23" x14ac:dyDescent="0.25">
      <c r="A69" s="4" t="s">
        <v>98</v>
      </c>
      <c r="B69" s="10" t="s">
        <v>113</v>
      </c>
      <c r="C69" s="75"/>
      <c r="D69" s="75">
        <v>8</v>
      </c>
      <c r="E69" s="75">
        <v>8</v>
      </c>
      <c r="F69" s="75">
        <v>0</v>
      </c>
      <c r="G69" s="75">
        <v>0</v>
      </c>
      <c r="H69" s="75">
        <v>0</v>
      </c>
      <c r="I69" s="107"/>
      <c r="J69" s="107">
        <v>8</v>
      </c>
      <c r="K69" s="107">
        <v>8</v>
      </c>
      <c r="L69" s="84"/>
      <c r="M69" s="84">
        <v>8</v>
      </c>
      <c r="N69" s="84">
        <v>8</v>
      </c>
      <c r="O69" s="75"/>
      <c r="P69" s="75">
        <v>0</v>
      </c>
      <c r="Q69" s="75">
        <v>0</v>
      </c>
      <c r="R69" s="75">
        <v>0</v>
      </c>
      <c r="S69" s="75">
        <v>0</v>
      </c>
      <c r="T69" s="75">
        <v>0</v>
      </c>
      <c r="U69" s="75">
        <v>0</v>
      </c>
      <c r="V69" s="75">
        <v>0</v>
      </c>
      <c r="W69" s="75">
        <v>0</v>
      </c>
    </row>
    <row r="70" spans="1:23" x14ac:dyDescent="0.25">
      <c r="A70" s="4" t="s">
        <v>99</v>
      </c>
      <c r="B70" s="10" t="s">
        <v>117</v>
      </c>
      <c r="C70" s="74">
        <v>4</v>
      </c>
      <c r="D70" s="74">
        <v>4</v>
      </c>
      <c r="E70" s="74">
        <v>8</v>
      </c>
      <c r="F70" s="74">
        <v>0</v>
      </c>
      <c r="G70" s="74">
        <v>0</v>
      </c>
      <c r="H70" s="74">
        <v>0</v>
      </c>
      <c r="I70" s="105">
        <v>4</v>
      </c>
      <c r="J70" s="105">
        <v>4</v>
      </c>
      <c r="K70" s="105">
        <v>8</v>
      </c>
      <c r="L70" s="82">
        <v>4</v>
      </c>
      <c r="M70" s="82">
        <v>4</v>
      </c>
      <c r="N70" s="82">
        <v>4</v>
      </c>
      <c r="O70" s="74">
        <v>0</v>
      </c>
      <c r="P70" s="74">
        <v>0</v>
      </c>
      <c r="Q70" s="74">
        <v>0</v>
      </c>
      <c r="R70" s="74">
        <v>0</v>
      </c>
      <c r="S70" s="74">
        <v>0</v>
      </c>
      <c r="T70" s="74">
        <v>0</v>
      </c>
      <c r="U70" s="74">
        <v>0</v>
      </c>
      <c r="V70" s="74">
        <v>0</v>
      </c>
      <c r="W70" s="74">
        <v>0</v>
      </c>
    </row>
    <row r="71" spans="1:23" x14ac:dyDescent="0.25">
      <c r="A71" s="4" t="s">
        <v>100</v>
      </c>
      <c r="B71" s="10" t="s">
        <v>118</v>
      </c>
      <c r="C71" s="75"/>
      <c r="D71" s="75">
        <v>4</v>
      </c>
      <c r="E71" s="75">
        <v>8</v>
      </c>
      <c r="F71" s="75"/>
      <c r="G71" s="75">
        <v>0</v>
      </c>
      <c r="H71" s="75">
        <v>0</v>
      </c>
      <c r="I71" s="107"/>
      <c r="J71" s="107">
        <v>4</v>
      </c>
      <c r="K71" s="107">
        <v>8</v>
      </c>
      <c r="L71" s="84"/>
      <c r="M71" s="84">
        <v>4</v>
      </c>
      <c r="N71" s="84">
        <v>8</v>
      </c>
      <c r="O71" s="75">
        <v>0</v>
      </c>
      <c r="P71" s="75">
        <v>0</v>
      </c>
      <c r="Q71" s="75">
        <v>0</v>
      </c>
      <c r="R71" s="75">
        <v>0</v>
      </c>
      <c r="S71" s="75">
        <v>0</v>
      </c>
      <c r="T71" s="75">
        <v>0</v>
      </c>
      <c r="U71" s="75">
        <v>0</v>
      </c>
      <c r="V71" s="75">
        <v>0</v>
      </c>
      <c r="W71" s="75">
        <v>0</v>
      </c>
    </row>
    <row r="72" spans="1:23" ht="18" customHeight="1" x14ac:dyDescent="0.25">
      <c r="A72" s="4" t="s">
        <v>101</v>
      </c>
      <c r="B72" s="10" t="s">
        <v>114</v>
      </c>
      <c r="C72" s="74">
        <v>8</v>
      </c>
      <c r="D72" s="74">
        <v>8</v>
      </c>
      <c r="E72" s="74">
        <v>8</v>
      </c>
      <c r="F72" s="74">
        <v>0</v>
      </c>
      <c r="G72" s="74">
        <v>0</v>
      </c>
      <c r="H72" s="74">
        <v>0</v>
      </c>
      <c r="I72" s="105">
        <v>4</v>
      </c>
      <c r="J72" s="105">
        <v>4</v>
      </c>
      <c r="K72" s="105">
        <v>8</v>
      </c>
      <c r="L72" s="82">
        <v>8</v>
      </c>
      <c r="M72" s="82">
        <v>8</v>
      </c>
      <c r="N72" s="82">
        <v>8</v>
      </c>
      <c r="O72" s="74">
        <v>0</v>
      </c>
      <c r="P72" s="74">
        <v>0</v>
      </c>
      <c r="Q72" s="74">
        <v>0</v>
      </c>
      <c r="R72" s="74">
        <v>0</v>
      </c>
      <c r="S72" s="74">
        <v>0</v>
      </c>
      <c r="T72" s="74">
        <v>0</v>
      </c>
      <c r="U72" s="74">
        <v>0</v>
      </c>
      <c r="V72" s="74">
        <v>0</v>
      </c>
      <c r="W72" s="74">
        <v>0</v>
      </c>
    </row>
    <row r="73" spans="1:23" x14ac:dyDescent="0.25">
      <c r="A73" s="4" t="s">
        <v>102</v>
      </c>
      <c r="B73" s="10" t="s">
        <v>115</v>
      </c>
      <c r="C73" s="76"/>
      <c r="D73" s="76">
        <v>2</v>
      </c>
      <c r="E73" s="76">
        <v>4</v>
      </c>
      <c r="F73" s="76"/>
      <c r="G73" s="76">
        <v>0</v>
      </c>
      <c r="H73" s="76">
        <v>0</v>
      </c>
      <c r="I73" s="106"/>
      <c r="J73" s="106">
        <v>2</v>
      </c>
      <c r="K73" s="106">
        <v>4</v>
      </c>
      <c r="L73" s="83"/>
      <c r="M73" s="83">
        <v>2</v>
      </c>
      <c r="N73" s="83">
        <v>4</v>
      </c>
      <c r="O73" s="76"/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</row>
    <row r="74" spans="1:23" ht="15.75" customHeight="1" x14ac:dyDescent="0.25">
      <c r="A74" s="4" t="s">
        <v>103</v>
      </c>
      <c r="B74" s="10" t="s">
        <v>116</v>
      </c>
      <c r="C74" s="75"/>
      <c r="D74" s="75">
        <v>8</v>
      </c>
      <c r="E74" s="75">
        <v>4</v>
      </c>
      <c r="F74" s="75"/>
      <c r="G74" s="75">
        <v>0</v>
      </c>
      <c r="H74" s="75">
        <v>0</v>
      </c>
      <c r="I74" s="107"/>
      <c r="J74" s="107">
        <v>8</v>
      </c>
      <c r="K74" s="107">
        <v>4</v>
      </c>
      <c r="L74" s="84"/>
      <c r="M74" s="84">
        <v>8</v>
      </c>
      <c r="N74" s="84">
        <v>4</v>
      </c>
      <c r="O74" s="75"/>
      <c r="P74" s="75">
        <v>0</v>
      </c>
      <c r="Q74" s="75">
        <v>0</v>
      </c>
      <c r="R74" s="75">
        <v>0</v>
      </c>
      <c r="S74" s="75">
        <v>0</v>
      </c>
      <c r="T74" s="75">
        <v>0</v>
      </c>
      <c r="U74" s="75">
        <v>0</v>
      </c>
      <c r="V74" s="75">
        <v>0</v>
      </c>
      <c r="W74" s="75">
        <v>0</v>
      </c>
    </row>
    <row r="75" spans="1:23" x14ac:dyDescent="0.25">
      <c r="A75" s="4" t="s">
        <v>104</v>
      </c>
      <c r="B75" s="10" t="s">
        <v>119</v>
      </c>
      <c r="C75" s="74">
        <v>8</v>
      </c>
      <c r="D75" s="74">
        <v>4</v>
      </c>
      <c r="E75" s="74">
        <v>8</v>
      </c>
      <c r="F75" s="74">
        <v>0</v>
      </c>
      <c r="G75" s="74">
        <v>0</v>
      </c>
      <c r="H75" s="74">
        <v>0</v>
      </c>
      <c r="I75" s="105">
        <v>4</v>
      </c>
      <c r="J75" s="105">
        <v>4</v>
      </c>
      <c r="K75" s="105">
        <v>8</v>
      </c>
      <c r="L75" s="82">
        <v>8</v>
      </c>
      <c r="M75" s="82">
        <v>4</v>
      </c>
      <c r="N75" s="82">
        <v>8</v>
      </c>
      <c r="O75" s="74">
        <v>0</v>
      </c>
      <c r="P75" s="74">
        <v>0</v>
      </c>
      <c r="Q75" s="74">
        <v>0</v>
      </c>
      <c r="R75" s="74">
        <v>0</v>
      </c>
      <c r="S75" s="74">
        <v>0</v>
      </c>
      <c r="T75" s="74">
        <v>0</v>
      </c>
      <c r="U75" s="74">
        <v>0</v>
      </c>
      <c r="V75" s="74">
        <v>0</v>
      </c>
      <c r="W75" s="74">
        <v>0</v>
      </c>
    </row>
    <row r="76" spans="1:23" x14ac:dyDescent="0.25">
      <c r="A76" s="4" t="s">
        <v>105</v>
      </c>
      <c r="B76" s="10" t="s">
        <v>120</v>
      </c>
      <c r="C76" s="75"/>
      <c r="D76" s="75"/>
      <c r="E76" s="75"/>
      <c r="F76" s="75"/>
      <c r="G76" s="75"/>
      <c r="H76" s="75"/>
      <c r="I76" s="107"/>
      <c r="J76" s="107"/>
      <c r="K76" s="107"/>
      <c r="L76" s="84"/>
      <c r="M76" s="84"/>
      <c r="N76" s="84"/>
      <c r="O76" s="75"/>
      <c r="P76" s="75"/>
      <c r="Q76" s="75"/>
      <c r="R76" s="75"/>
      <c r="S76" s="75"/>
      <c r="T76" s="75"/>
      <c r="U76" s="75"/>
      <c r="V76" s="75"/>
      <c r="W76" s="75"/>
    </row>
    <row r="77" spans="1:23" ht="12.75" customHeight="1" x14ac:dyDescent="0.25">
      <c r="A77" s="4" t="s">
        <v>106</v>
      </c>
      <c r="B77" s="10" t="s">
        <v>121</v>
      </c>
      <c r="C77" s="74">
        <v>8</v>
      </c>
      <c r="D77" s="74">
        <v>4</v>
      </c>
      <c r="E77" s="74">
        <v>8</v>
      </c>
      <c r="F77" s="74">
        <v>0</v>
      </c>
      <c r="G77" s="74">
        <v>0</v>
      </c>
      <c r="H77" s="74">
        <v>0</v>
      </c>
      <c r="I77" s="105">
        <v>8</v>
      </c>
      <c r="J77" s="105">
        <v>4</v>
      </c>
      <c r="K77" s="105">
        <v>8</v>
      </c>
      <c r="L77" s="82">
        <v>8</v>
      </c>
      <c r="M77" s="82">
        <v>4</v>
      </c>
      <c r="N77" s="82">
        <v>8</v>
      </c>
      <c r="O77" s="137">
        <v>8</v>
      </c>
      <c r="P77" s="137">
        <v>4</v>
      </c>
      <c r="Q77" s="137">
        <v>8</v>
      </c>
      <c r="R77" s="135">
        <v>8</v>
      </c>
      <c r="S77" s="135">
        <v>4</v>
      </c>
      <c r="T77" s="135">
        <v>8</v>
      </c>
      <c r="U77" s="71">
        <v>0</v>
      </c>
      <c r="V77" s="71">
        <v>0</v>
      </c>
      <c r="W77" s="71">
        <v>0</v>
      </c>
    </row>
    <row r="78" spans="1:23" ht="14.25" customHeight="1" x14ac:dyDescent="0.25">
      <c r="A78" s="4" t="s">
        <v>107</v>
      </c>
      <c r="B78" s="10" t="s">
        <v>122</v>
      </c>
      <c r="C78" s="75"/>
      <c r="D78" s="75"/>
      <c r="E78" s="75"/>
      <c r="F78" s="75"/>
      <c r="G78" s="75"/>
      <c r="H78" s="75"/>
      <c r="I78" s="107"/>
      <c r="J78" s="107"/>
      <c r="K78" s="107"/>
      <c r="L78" s="84"/>
      <c r="M78" s="84"/>
      <c r="N78" s="84"/>
      <c r="O78" s="138"/>
      <c r="P78" s="138"/>
      <c r="Q78" s="138"/>
      <c r="R78" s="136"/>
      <c r="S78" s="136"/>
      <c r="T78" s="136"/>
      <c r="U78" s="73"/>
      <c r="V78" s="73"/>
      <c r="W78" s="73"/>
    </row>
    <row r="79" spans="1:23" x14ac:dyDescent="0.25">
      <c r="A79" s="4" t="s">
        <v>108</v>
      </c>
      <c r="B79" s="10" t="s">
        <v>119</v>
      </c>
      <c r="C79" s="4">
        <v>4</v>
      </c>
      <c r="D79" s="4">
        <v>4</v>
      </c>
      <c r="E79" s="4">
        <v>4</v>
      </c>
      <c r="F79" s="4">
        <v>0</v>
      </c>
      <c r="G79" s="4">
        <v>0</v>
      </c>
      <c r="H79" s="4">
        <v>0</v>
      </c>
      <c r="I79" s="6">
        <v>4</v>
      </c>
      <c r="J79" s="6">
        <v>4</v>
      </c>
      <c r="K79" s="6">
        <v>4</v>
      </c>
      <c r="L79" s="7">
        <v>4</v>
      </c>
      <c r="M79" s="7">
        <v>4</v>
      </c>
      <c r="N79" s="7">
        <v>4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</row>
    <row r="80" spans="1:23" s="28" customFormat="1" x14ac:dyDescent="0.25">
      <c r="A80" s="143" t="s">
        <v>160</v>
      </c>
      <c r="B80" s="144"/>
      <c r="C80" s="20">
        <f t="shared" ref="C80:W80" si="5">C79+C78+C77+C76+C75+C71+C70+C74+C73+C72+C69+C68+C67+C66+C65+C64</f>
        <v>40</v>
      </c>
      <c r="D80" s="20">
        <f t="shared" si="5"/>
        <v>58</v>
      </c>
      <c r="E80" s="20">
        <f t="shared" si="5"/>
        <v>84</v>
      </c>
      <c r="F80" s="34">
        <f t="shared" si="5"/>
        <v>0</v>
      </c>
      <c r="G80" s="34">
        <f t="shared" si="5"/>
        <v>0</v>
      </c>
      <c r="H80" s="34">
        <f t="shared" si="5"/>
        <v>0</v>
      </c>
      <c r="I80" s="35">
        <f t="shared" si="5"/>
        <v>32</v>
      </c>
      <c r="J80" s="35">
        <f t="shared" si="5"/>
        <v>64</v>
      </c>
      <c r="K80" s="35">
        <f t="shared" si="5"/>
        <v>92</v>
      </c>
      <c r="L80" s="36">
        <f t="shared" si="5"/>
        <v>40</v>
      </c>
      <c r="M80" s="36">
        <f t="shared" si="5"/>
        <v>68</v>
      </c>
      <c r="N80" s="36">
        <f t="shared" si="5"/>
        <v>88</v>
      </c>
      <c r="O80" s="37">
        <f t="shared" si="5"/>
        <v>8</v>
      </c>
      <c r="P80" s="37">
        <f t="shared" si="5"/>
        <v>4</v>
      </c>
      <c r="Q80" s="37">
        <f t="shared" si="5"/>
        <v>8</v>
      </c>
      <c r="R80" s="21">
        <f t="shared" si="5"/>
        <v>8</v>
      </c>
      <c r="S80" s="21">
        <f t="shared" si="5"/>
        <v>4</v>
      </c>
      <c r="T80" s="21">
        <f t="shared" si="5"/>
        <v>8</v>
      </c>
      <c r="U80" s="57">
        <f t="shared" si="5"/>
        <v>4</v>
      </c>
      <c r="V80" s="57">
        <f t="shared" si="5"/>
        <v>4</v>
      </c>
      <c r="W80" s="57">
        <f t="shared" si="5"/>
        <v>8</v>
      </c>
    </row>
    <row r="81" spans="1:24" ht="25.5" customHeight="1" x14ac:dyDescent="0.25">
      <c r="A81" s="2">
        <v>5.2</v>
      </c>
      <c r="B81" s="132" t="s">
        <v>19</v>
      </c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4"/>
    </row>
    <row r="82" spans="1:24" x14ac:dyDescent="0.25">
      <c r="A82" s="4" t="s">
        <v>124</v>
      </c>
      <c r="B82" s="10" t="s">
        <v>180</v>
      </c>
      <c r="C82" s="74">
        <v>8</v>
      </c>
      <c r="D82" s="74">
        <v>8</v>
      </c>
      <c r="E82" s="74">
        <v>0</v>
      </c>
      <c r="F82" s="74">
        <v>0</v>
      </c>
      <c r="G82" s="74">
        <v>0</v>
      </c>
      <c r="H82" s="74">
        <v>0</v>
      </c>
      <c r="I82" s="108">
        <v>0</v>
      </c>
      <c r="J82" s="108">
        <v>0</v>
      </c>
      <c r="K82" s="108">
        <v>0</v>
      </c>
      <c r="L82" s="82">
        <v>8</v>
      </c>
      <c r="M82" s="82">
        <v>8</v>
      </c>
      <c r="N82" s="71">
        <v>0</v>
      </c>
      <c r="O82" s="137">
        <v>8</v>
      </c>
      <c r="P82" s="137">
        <v>8</v>
      </c>
      <c r="Q82" s="137">
        <v>0</v>
      </c>
      <c r="R82" s="135">
        <v>8</v>
      </c>
      <c r="S82" s="135">
        <v>8</v>
      </c>
      <c r="T82" s="135">
        <v>0</v>
      </c>
      <c r="U82" s="74">
        <v>0</v>
      </c>
      <c r="V82" s="74">
        <v>0</v>
      </c>
      <c r="W82" s="74">
        <v>0</v>
      </c>
    </row>
    <row r="83" spans="1:24" x14ac:dyDescent="0.25">
      <c r="A83" s="4" t="s">
        <v>127</v>
      </c>
      <c r="B83" s="10" t="s">
        <v>132</v>
      </c>
      <c r="C83" s="76"/>
      <c r="D83" s="76"/>
      <c r="E83" s="76"/>
      <c r="F83" s="76"/>
      <c r="G83" s="76"/>
      <c r="H83" s="76"/>
      <c r="I83" s="109"/>
      <c r="J83" s="109"/>
      <c r="K83" s="109"/>
      <c r="L83" s="83"/>
      <c r="M83" s="83"/>
      <c r="N83" s="72"/>
      <c r="O83" s="140"/>
      <c r="P83" s="140"/>
      <c r="Q83" s="140"/>
      <c r="R83" s="139"/>
      <c r="S83" s="139"/>
      <c r="T83" s="139"/>
      <c r="U83" s="76"/>
      <c r="V83" s="76"/>
      <c r="W83" s="76"/>
    </row>
    <row r="84" spans="1:24" x14ac:dyDescent="0.25">
      <c r="A84" s="4" t="s">
        <v>128</v>
      </c>
      <c r="B84" s="10" t="s">
        <v>133</v>
      </c>
      <c r="C84" s="75"/>
      <c r="D84" s="75"/>
      <c r="E84" s="75"/>
      <c r="F84" s="75"/>
      <c r="G84" s="75"/>
      <c r="H84" s="75"/>
      <c r="I84" s="110"/>
      <c r="J84" s="110"/>
      <c r="K84" s="110"/>
      <c r="L84" s="84"/>
      <c r="M84" s="84"/>
      <c r="N84" s="73"/>
      <c r="O84" s="138"/>
      <c r="P84" s="138"/>
      <c r="Q84" s="138"/>
      <c r="R84" s="136"/>
      <c r="S84" s="136"/>
      <c r="T84" s="136"/>
      <c r="U84" s="75"/>
      <c r="V84" s="75"/>
      <c r="W84" s="75"/>
    </row>
    <row r="85" spans="1:24" x14ac:dyDescent="0.25">
      <c r="A85" s="4" t="s">
        <v>125</v>
      </c>
      <c r="B85" s="10" t="s">
        <v>134</v>
      </c>
      <c r="C85" s="4">
        <v>8</v>
      </c>
      <c r="D85" s="4">
        <v>8</v>
      </c>
      <c r="E85" s="4">
        <v>16</v>
      </c>
      <c r="F85" s="4">
        <v>0</v>
      </c>
      <c r="G85" s="4">
        <v>0</v>
      </c>
      <c r="H85" s="4">
        <v>0</v>
      </c>
      <c r="I85" s="6">
        <v>8</v>
      </c>
      <c r="J85" s="6">
        <v>8</v>
      </c>
      <c r="K85" s="6">
        <v>16</v>
      </c>
      <c r="L85" s="7">
        <v>8</v>
      </c>
      <c r="M85" s="7">
        <v>8</v>
      </c>
      <c r="N85" s="7">
        <v>16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</row>
    <row r="86" spans="1:24" x14ac:dyDescent="0.25">
      <c r="A86" s="4" t="s">
        <v>129</v>
      </c>
      <c r="B86" s="10" t="s">
        <v>135</v>
      </c>
      <c r="C86" s="74">
        <v>8</v>
      </c>
      <c r="D86" s="74">
        <v>8</v>
      </c>
      <c r="E86" s="74">
        <v>8</v>
      </c>
      <c r="F86" s="74">
        <v>0</v>
      </c>
      <c r="G86" s="74">
        <v>1</v>
      </c>
      <c r="H86" s="74">
        <v>2</v>
      </c>
      <c r="I86" s="108">
        <v>0</v>
      </c>
      <c r="J86" s="108">
        <v>0</v>
      </c>
      <c r="K86" s="108">
        <v>0</v>
      </c>
      <c r="L86" s="82">
        <v>8</v>
      </c>
      <c r="M86" s="82">
        <v>8</v>
      </c>
      <c r="N86" s="82">
        <v>8</v>
      </c>
      <c r="O86" s="74">
        <v>0</v>
      </c>
      <c r="P86" s="74">
        <v>0</v>
      </c>
      <c r="Q86" s="74">
        <v>0</v>
      </c>
      <c r="R86" s="74">
        <v>0</v>
      </c>
      <c r="S86" s="74">
        <v>0</v>
      </c>
      <c r="T86" s="74">
        <v>0</v>
      </c>
      <c r="U86" s="74">
        <v>0</v>
      </c>
      <c r="V86" s="74">
        <v>0</v>
      </c>
      <c r="W86" s="74">
        <v>0</v>
      </c>
    </row>
    <row r="87" spans="1:24" x14ac:dyDescent="0.25">
      <c r="A87" s="4" t="s">
        <v>130</v>
      </c>
      <c r="B87" s="10" t="s">
        <v>136</v>
      </c>
      <c r="C87" s="76"/>
      <c r="D87" s="76"/>
      <c r="E87" s="76"/>
      <c r="F87" s="76"/>
      <c r="G87" s="76"/>
      <c r="H87" s="76"/>
      <c r="I87" s="109"/>
      <c r="J87" s="109"/>
      <c r="K87" s="109"/>
      <c r="L87" s="83"/>
      <c r="M87" s="83"/>
      <c r="N87" s="83"/>
      <c r="O87" s="76"/>
      <c r="P87" s="76"/>
      <c r="Q87" s="76"/>
      <c r="R87" s="76"/>
      <c r="S87" s="76"/>
      <c r="T87" s="76"/>
      <c r="U87" s="76"/>
      <c r="V87" s="76"/>
      <c r="W87" s="76"/>
    </row>
    <row r="88" spans="1:24" x14ac:dyDescent="0.25">
      <c r="A88" s="4" t="s">
        <v>131</v>
      </c>
      <c r="B88" s="10" t="s">
        <v>137</v>
      </c>
      <c r="C88" s="75"/>
      <c r="D88" s="75"/>
      <c r="E88" s="75"/>
      <c r="F88" s="75"/>
      <c r="G88" s="75"/>
      <c r="H88" s="75"/>
      <c r="I88" s="110"/>
      <c r="J88" s="110"/>
      <c r="K88" s="110"/>
      <c r="L88" s="84"/>
      <c r="M88" s="84"/>
      <c r="N88" s="84"/>
      <c r="O88" s="75"/>
      <c r="P88" s="75"/>
      <c r="Q88" s="75"/>
      <c r="R88" s="75"/>
      <c r="S88" s="75"/>
      <c r="T88" s="75"/>
      <c r="U88" s="75"/>
      <c r="V88" s="75"/>
      <c r="W88" s="75"/>
    </row>
    <row r="89" spans="1:24" x14ac:dyDescent="0.25">
      <c r="A89" s="4" t="s">
        <v>126</v>
      </c>
      <c r="B89" s="10" t="s">
        <v>119</v>
      </c>
      <c r="C89" s="4">
        <v>4</v>
      </c>
      <c r="D89" s="4">
        <v>8</v>
      </c>
      <c r="E89" s="4">
        <v>8</v>
      </c>
      <c r="F89" s="4">
        <v>0</v>
      </c>
      <c r="G89" s="4">
        <v>0</v>
      </c>
      <c r="H89" s="4">
        <v>0</v>
      </c>
      <c r="I89" s="13">
        <v>0</v>
      </c>
      <c r="J89" s="13">
        <v>0</v>
      </c>
      <c r="K89" s="13">
        <v>0</v>
      </c>
      <c r="L89" s="7">
        <v>4</v>
      </c>
      <c r="M89" s="7">
        <v>4</v>
      </c>
      <c r="N89" s="7">
        <v>4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</row>
    <row r="90" spans="1:24" s="28" customFormat="1" x14ac:dyDescent="0.25">
      <c r="A90" s="143" t="s">
        <v>181</v>
      </c>
      <c r="B90" s="144"/>
      <c r="C90" s="20">
        <f t="shared" ref="C90:T90" si="6">SUM(C82:C89)</f>
        <v>28</v>
      </c>
      <c r="D90" s="20">
        <f t="shared" si="6"/>
        <v>32</v>
      </c>
      <c r="E90" s="20">
        <f t="shared" si="6"/>
        <v>32</v>
      </c>
      <c r="F90" s="34">
        <f t="shared" si="6"/>
        <v>0</v>
      </c>
      <c r="G90" s="34">
        <f t="shared" si="6"/>
        <v>1</v>
      </c>
      <c r="H90" s="34">
        <f t="shared" si="6"/>
        <v>2</v>
      </c>
      <c r="I90" s="35">
        <f t="shared" si="6"/>
        <v>8</v>
      </c>
      <c r="J90" s="35">
        <f t="shared" si="6"/>
        <v>8</v>
      </c>
      <c r="K90" s="35">
        <f t="shared" si="6"/>
        <v>16</v>
      </c>
      <c r="L90" s="36">
        <f t="shared" si="6"/>
        <v>28</v>
      </c>
      <c r="M90" s="36">
        <f t="shared" si="6"/>
        <v>28</v>
      </c>
      <c r="N90" s="36">
        <f t="shared" si="6"/>
        <v>28</v>
      </c>
      <c r="O90" s="37">
        <f t="shared" si="6"/>
        <v>8</v>
      </c>
      <c r="P90" s="37">
        <f t="shared" si="6"/>
        <v>8</v>
      </c>
      <c r="Q90" s="37">
        <f t="shared" si="6"/>
        <v>0</v>
      </c>
      <c r="R90" s="21">
        <f t="shared" si="6"/>
        <v>8</v>
      </c>
      <c r="S90" s="21">
        <f t="shared" si="6"/>
        <v>8</v>
      </c>
      <c r="T90" s="21">
        <f t="shared" si="6"/>
        <v>0</v>
      </c>
      <c r="U90" s="57">
        <f t="shared" ref="U90:W90" si="7">SUM(U82:U89)</f>
        <v>0</v>
      </c>
      <c r="V90" s="57">
        <f t="shared" si="7"/>
        <v>0</v>
      </c>
      <c r="W90" s="57">
        <f t="shared" si="7"/>
        <v>0</v>
      </c>
    </row>
    <row r="91" spans="1:24" s="28" customFormat="1" ht="25.5" customHeight="1" x14ac:dyDescent="0.25">
      <c r="A91" s="2">
        <v>6</v>
      </c>
      <c r="B91" s="132" t="s">
        <v>20</v>
      </c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4"/>
    </row>
    <row r="92" spans="1:24" ht="25.5" customHeight="1" x14ac:dyDescent="0.25">
      <c r="A92" s="2">
        <v>6.1</v>
      </c>
      <c r="B92" s="132" t="s">
        <v>21</v>
      </c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4"/>
    </row>
    <row r="93" spans="1:24" x14ac:dyDescent="0.25">
      <c r="A93" s="4" t="s">
        <v>138</v>
      </c>
      <c r="B93" s="10" t="s">
        <v>147</v>
      </c>
      <c r="C93" s="74">
        <v>4</v>
      </c>
      <c r="D93" s="74">
        <v>4</v>
      </c>
      <c r="E93" s="74">
        <v>4</v>
      </c>
      <c r="F93" s="74">
        <v>0</v>
      </c>
      <c r="G93" s="74">
        <v>0</v>
      </c>
      <c r="H93" s="74">
        <v>0</v>
      </c>
      <c r="I93" s="74">
        <v>0</v>
      </c>
      <c r="J93" s="74">
        <v>0</v>
      </c>
      <c r="K93" s="74">
        <v>0</v>
      </c>
      <c r="L93" s="74">
        <v>0</v>
      </c>
      <c r="M93" s="74">
        <v>0</v>
      </c>
      <c r="N93" s="74">
        <v>0</v>
      </c>
      <c r="O93" s="145">
        <v>4</v>
      </c>
      <c r="P93" s="85">
        <v>4</v>
      </c>
      <c r="Q93" s="85">
        <v>4</v>
      </c>
      <c r="R93" s="114">
        <v>4</v>
      </c>
      <c r="S93" s="114">
        <v>4</v>
      </c>
      <c r="T93" s="114">
        <v>4</v>
      </c>
      <c r="U93" s="71">
        <v>0</v>
      </c>
      <c r="V93" s="71">
        <v>0</v>
      </c>
      <c r="W93" s="71">
        <v>0</v>
      </c>
      <c r="X93" s="47"/>
    </row>
    <row r="94" spans="1:24" x14ac:dyDescent="0.25">
      <c r="A94" s="4" t="s">
        <v>139</v>
      </c>
      <c r="B94" s="10" t="s">
        <v>148</v>
      </c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146"/>
      <c r="P94" s="86">
        <v>0</v>
      </c>
      <c r="Q94" s="86">
        <v>0</v>
      </c>
      <c r="R94" s="115"/>
      <c r="S94" s="115">
        <v>0</v>
      </c>
      <c r="T94" s="115">
        <v>8</v>
      </c>
      <c r="U94" s="72"/>
      <c r="V94" s="72"/>
      <c r="W94" s="72"/>
      <c r="X94" s="47"/>
    </row>
    <row r="95" spans="1:24" x14ac:dyDescent="0.25">
      <c r="A95" s="4" t="s">
        <v>140</v>
      </c>
      <c r="B95" s="10" t="s">
        <v>149</v>
      </c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147"/>
      <c r="P95" s="87">
        <v>0</v>
      </c>
      <c r="Q95" s="87">
        <v>0</v>
      </c>
      <c r="R95" s="116"/>
      <c r="S95" s="116">
        <v>0</v>
      </c>
      <c r="T95" s="116">
        <v>8</v>
      </c>
      <c r="U95" s="73"/>
      <c r="V95" s="73"/>
      <c r="W95" s="73"/>
      <c r="X95" s="47"/>
    </row>
    <row r="96" spans="1:24" x14ac:dyDescent="0.25">
      <c r="A96" s="4" t="s">
        <v>141</v>
      </c>
      <c r="B96" s="10" t="s">
        <v>150</v>
      </c>
      <c r="C96" s="74">
        <v>4</v>
      </c>
      <c r="D96" s="74">
        <v>4</v>
      </c>
      <c r="E96" s="74">
        <v>4</v>
      </c>
      <c r="F96" s="74">
        <v>0</v>
      </c>
      <c r="G96" s="74">
        <v>0</v>
      </c>
      <c r="H96" s="74">
        <v>0</v>
      </c>
      <c r="I96" s="74">
        <v>0</v>
      </c>
      <c r="J96" s="74">
        <v>0</v>
      </c>
      <c r="K96" s="74">
        <v>0</v>
      </c>
      <c r="L96" s="74">
        <v>0</v>
      </c>
      <c r="M96" s="74">
        <v>0</v>
      </c>
      <c r="N96" s="74">
        <v>0</v>
      </c>
      <c r="O96" s="137">
        <v>4</v>
      </c>
      <c r="P96" s="137">
        <v>4</v>
      </c>
      <c r="Q96" s="137">
        <v>4</v>
      </c>
      <c r="R96" s="135">
        <v>4</v>
      </c>
      <c r="S96" s="135">
        <v>4</v>
      </c>
      <c r="T96" s="135">
        <v>4</v>
      </c>
      <c r="U96" s="74">
        <v>0</v>
      </c>
      <c r="V96" s="74">
        <v>0</v>
      </c>
      <c r="W96" s="74">
        <v>0</v>
      </c>
    </row>
    <row r="97" spans="1:23" x14ac:dyDescent="0.25">
      <c r="A97" s="4" t="s">
        <v>142</v>
      </c>
      <c r="B97" s="10" t="s">
        <v>151</v>
      </c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138"/>
      <c r="P97" s="138"/>
      <c r="Q97" s="138"/>
      <c r="R97" s="136"/>
      <c r="S97" s="136"/>
      <c r="T97" s="136"/>
      <c r="U97" s="75"/>
      <c r="V97" s="75"/>
      <c r="W97" s="75"/>
    </row>
    <row r="98" spans="1:23" x14ac:dyDescent="0.25">
      <c r="A98" s="4" t="s">
        <v>143</v>
      </c>
      <c r="B98" s="10" t="s">
        <v>152</v>
      </c>
      <c r="C98" s="74">
        <v>4</v>
      </c>
      <c r="D98" s="74">
        <v>8</v>
      </c>
      <c r="E98" s="74">
        <v>8</v>
      </c>
      <c r="F98" s="74">
        <v>0</v>
      </c>
      <c r="G98" s="74">
        <v>0</v>
      </c>
      <c r="H98" s="74">
        <v>0</v>
      </c>
      <c r="I98" s="74">
        <v>0</v>
      </c>
      <c r="J98" s="74">
        <v>0</v>
      </c>
      <c r="K98" s="74">
        <v>0</v>
      </c>
      <c r="L98" s="74">
        <v>0</v>
      </c>
      <c r="M98" s="74">
        <v>0</v>
      </c>
      <c r="N98" s="74">
        <v>0</v>
      </c>
      <c r="O98" s="137">
        <v>4</v>
      </c>
      <c r="P98" s="137">
        <v>8</v>
      </c>
      <c r="Q98" s="137">
        <v>8</v>
      </c>
      <c r="R98" s="135">
        <v>4</v>
      </c>
      <c r="S98" s="135">
        <v>8</v>
      </c>
      <c r="T98" s="135">
        <v>8</v>
      </c>
      <c r="U98" s="74">
        <v>0</v>
      </c>
      <c r="V98" s="74">
        <v>0</v>
      </c>
      <c r="W98" s="74">
        <v>0</v>
      </c>
    </row>
    <row r="99" spans="1:23" x14ac:dyDescent="0.25">
      <c r="A99" s="4" t="s">
        <v>144</v>
      </c>
      <c r="B99" s="10" t="s">
        <v>153</v>
      </c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138"/>
      <c r="P99" s="138"/>
      <c r="Q99" s="138"/>
      <c r="R99" s="136"/>
      <c r="S99" s="136"/>
      <c r="T99" s="136"/>
      <c r="U99" s="75"/>
      <c r="V99" s="75"/>
      <c r="W99" s="75"/>
    </row>
    <row r="100" spans="1:23" x14ac:dyDescent="0.25">
      <c r="A100" s="4" t="s">
        <v>145</v>
      </c>
      <c r="B100" s="10" t="s">
        <v>154</v>
      </c>
      <c r="C100" s="64">
        <v>4</v>
      </c>
      <c r="D100" s="64">
        <v>0</v>
      </c>
      <c r="E100" s="64">
        <v>4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0</v>
      </c>
      <c r="P100" s="64">
        <v>0</v>
      </c>
      <c r="Q100" s="64">
        <v>0</v>
      </c>
      <c r="R100" s="65">
        <v>4</v>
      </c>
      <c r="S100" s="65">
        <v>0</v>
      </c>
      <c r="T100" s="65">
        <v>4</v>
      </c>
      <c r="U100" s="64">
        <v>0</v>
      </c>
      <c r="V100" s="64">
        <v>0</v>
      </c>
      <c r="W100" s="64">
        <v>0</v>
      </c>
    </row>
    <row r="101" spans="1:23" s="28" customFormat="1" ht="18.75" customHeight="1" x14ac:dyDescent="0.25">
      <c r="A101" s="143" t="s">
        <v>160</v>
      </c>
      <c r="B101" s="144"/>
      <c r="C101" s="22">
        <f t="shared" ref="C101:W101" si="8">SUM(C93:C100)</f>
        <v>16</v>
      </c>
      <c r="D101" s="22">
        <f t="shared" si="8"/>
        <v>16</v>
      </c>
      <c r="E101" s="22">
        <f t="shared" si="8"/>
        <v>20</v>
      </c>
      <c r="F101" s="23">
        <f t="shared" si="8"/>
        <v>0</v>
      </c>
      <c r="G101" s="23">
        <f t="shared" si="8"/>
        <v>0</v>
      </c>
      <c r="H101" s="23">
        <f t="shared" si="8"/>
        <v>0</v>
      </c>
      <c r="I101" s="24">
        <f t="shared" si="8"/>
        <v>0</v>
      </c>
      <c r="J101" s="24">
        <f t="shared" si="8"/>
        <v>0</v>
      </c>
      <c r="K101" s="24">
        <f t="shared" si="8"/>
        <v>0</v>
      </c>
      <c r="L101" s="25">
        <f t="shared" si="8"/>
        <v>0</v>
      </c>
      <c r="M101" s="25">
        <f t="shared" si="8"/>
        <v>0</v>
      </c>
      <c r="N101" s="25">
        <f t="shared" si="8"/>
        <v>0</v>
      </c>
      <c r="O101" s="26">
        <f t="shared" si="8"/>
        <v>12</v>
      </c>
      <c r="P101" s="26">
        <f t="shared" si="8"/>
        <v>16</v>
      </c>
      <c r="Q101" s="26">
        <f t="shared" si="8"/>
        <v>16</v>
      </c>
      <c r="R101" s="38">
        <f t="shared" si="8"/>
        <v>16</v>
      </c>
      <c r="S101" s="38">
        <f t="shared" si="8"/>
        <v>16</v>
      </c>
      <c r="T101" s="38">
        <f t="shared" si="8"/>
        <v>36</v>
      </c>
      <c r="U101" s="58">
        <f t="shared" si="8"/>
        <v>0</v>
      </c>
      <c r="V101" s="58">
        <f t="shared" si="8"/>
        <v>0</v>
      </c>
      <c r="W101" s="58">
        <f t="shared" si="8"/>
        <v>0</v>
      </c>
    </row>
    <row r="102" spans="1:23" x14ac:dyDescent="0.25">
      <c r="A102" s="2">
        <v>6.2</v>
      </c>
      <c r="B102" s="132" t="s">
        <v>22</v>
      </c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4"/>
    </row>
    <row r="103" spans="1:23" x14ac:dyDescent="0.25">
      <c r="A103" s="4" t="s">
        <v>163</v>
      </c>
      <c r="B103" s="10" t="s">
        <v>123</v>
      </c>
      <c r="C103" s="74">
        <v>8</v>
      </c>
      <c r="D103" s="74">
        <v>8</v>
      </c>
      <c r="E103" s="74">
        <v>24</v>
      </c>
      <c r="F103" s="74">
        <v>0</v>
      </c>
      <c r="G103" s="74">
        <v>0</v>
      </c>
      <c r="H103" s="74">
        <v>0</v>
      </c>
      <c r="I103" s="74">
        <v>0</v>
      </c>
      <c r="J103" s="74">
        <v>0</v>
      </c>
      <c r="K103" s="74">
        <v>0</v>
      </c>
      <c r="L103" s="74">
        <v>0</v>
      </c>
      <c r="M103" s="74">
        <v>0</v>
      </c>
      <c r="N103" s="74">
        <v>0</v>
      </c>
      <c r="O103" s="137">
        <v>8</v>
      </c>
      <c r="P103" s="137">
        <v>8</v>
      </c>
      <c r="Q103" s="137">
        <v>24</v>
      </c>
      <c r="R103" s="135">
        <v>8</v>
      </c>
      <c r="S103" s="135">
        <v>8</v>
      </c>
      <c r="T103" s="135">
        <v>16</v>
      </c>
      <c r="U103" s="71">
        <v>0</v>
      </c>
      <c r="V103" s="71">
        <v>0</v>
      </c>
      <c r="W103" s="71">
        <v>0</v>
      </c>
    </row>
    <row r="104" spans="1:23" x14ac:dyDescent="0.25">
      <c r="A104" s="4" t="s">
        <v>164</v>
      </c>
      <c r="B104" s="10" t="s">
        <v>132</v>
      </c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140"/>
      <c r="P104" s="140"/>
      <c r="Q104" s="140"/>
      <c r="R104" s="139"/>
      <c r="S104" s="139"/>
      <c r="T104" s="139"/>
      <c r="U104" s="72"/>
      <c r="V104" s="72"/>
      <c r="W104" s="72"/>
    </row>
    <row r="105" spans="1:23" x14ac:dyDescent="0.25">
      <c r="A105" s="4" t="s">
        <v>165</v>
      </c>
      <c r="B105" s="10" t="s">
        <v>133</v>
      </c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138"/>
      <c r="P105" s="138"/>
      <c r="Q105" s="138"/>
      <c r="R105" s="136"/>
      <c r="S105" s="136"/>
      <c r="T105" s="136"/>
      <c r="U105" s="73"/>
      <c r="V105" s="73"/>
      <c r="W105" s="73"/>
    </row>
    <row r="106" spans="1:23" x14ac:dyDescent="0.25">
      <c r="A106" s="4" t="s">
        <v>166</v>
      </c>
      <c r="B106" s="10" t="s">
        <v>134</v>
      </c>
      <c r="C106" s="74">
        <v>8</v>
      </c>
      <c r="D106" s="74">
        <v>8</v>
      </c>
      <c r="E106" s="74">
        <v>16</v>
      </c>
      <c r="F106" s="74">
        <v>0</v>
      </c>
      <c r="G106" s="74">
        <v>0</v>
      </c>
      <c r="H106" s="74">
        <v>0</v>
      </c>
      <c r="I106" s="74">
        <v>0</v>
      </c>
      <c r="J106" s="74">
        <v>0</v>
      </c>
      <c r="K106" s="74">
        <v>0</v>
      </c>
      <c r="L106" s="74">
        <v>0</v>
      </c>
      <c r="M106" s="74">
        <v>0</v>
      </c>
      <c r="N106" s="74">
        <v>0</v>
      </c>
      <c r="O106" s="137">
        <v>8</v>
      </c>
      <c r="P106" s="137">
        <v>4</v>
      </c>
      <c r="Q106" s="137">
        <v>16</v>
      </c>
      <c r="R106" s="135">
        <v>8</v>
      </c>
      <c r="S106" s="135">
        <v>8</v>
      </c>
      <c r="T106" s="135">
        <v>8</v>
      </c>
      <c r="U106" s="71">
        <v>0</v>
      </c>
      <c r="V106" s="71">
        <v>0</v>
      </c>
      <c r="W106" s="71">
        <v>0</v>
      </c>
    </row>
    <row r="107" spans="1:23" x14ac:dyDescent="0.25">
      <c r="A107" s="4" t="s">
        <v>167</v>
      </c>
      <c r="B107" s="10" t="s">
        <v>135</v>
      </c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138"/>
      <c r="P107" s="138"/>
      <c r="Q107" s="138"/>
      <c r="R107" s="136"/>
      <c r="S107" s="136"/>
      <c r="T107" s="136"/>
      <c r="U107" s="73"/>
      <c r="V107" s="73"/>
      <c r="W107" s="73"/>
    </row>
    <row r="108" spans="1:23" x14ac:dyDescent="0.25">
      <c r="A108" s="4" t="s">
        <v>168</v>
      </c>
      <c r="B108" s="10" t="s">
        <v>136</v>
      </c>
      <c r="C108" s="74">
        <v>4</v>
      </c>
      <c r="D108" s="74">
        <v>4</v>
      </c>
      <c r="E108" s="74">
        <v>8</v>
      </c>
      <c r="F108" s="74">
        <v>0</v>
      </c>
      <c r="G108" s="74">
        <v>0</v>
      </c>
      <c r="H108" s="74">
        <v>0</v>
      </c>
      <c r="I108" s="74">
        <v>0</v>
      </c>
      <c r="J108" s="74">
        <v>0</v>
      </c>
      <c r="K108" s="74">
        <v>0</v>
      </c>
      <c r="L108" s="74">
        <v>0</v>
      </c>
      <c r="M108" s="74">
        <v>0</v>
      </c>
      <c r="N108" s="74">
        <v>0</v>
      </c>
      <c r="O108" s="137">
        <v>4</v>
      </c>
      <c r="P108" s="137">
        <v>4</v>
      </c>
      <c r="Q108" s="137">
        <v>4</v>
      </c>
      <c r="R108" s="135">
        <v>4</v>
      </c>
      <c r="S108" s="135">
        <v>4</v>
      </c>
      <c r="T108" s="135">
        <v>8</v>
      </c>
      <c r="U108" s="71">
        <v>0</v>
      </c>
      <c r="V108" s="71">
        <v>0</v>
      </c>
      <c r="W108" s="71">
        <v>0</v>
      </c>
    </row>
    <row r="109" spans="1:23" x14ac:dyDescent="0.25">
      <c r="A109" s="4" t="s">
        <v>169</v>
      </c>
      <c r="B109" s="10" t="s">
        <v>155</v>
      </c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140"/>
      <c r="P109" s="140"/>
      <c r="Q109" s="140"/>
      <c r="R109" s="139"/>
      <c r="S109" s="139"/>
      <c r="T109" s="139"/>
      <c r="U109" s="72"/>
      <c r="V109" s="72"/>
      <c r="W109" s="72"/>
    </row>
    <row r="110" spans="1:23" x14ac:dyDescent="0.25">
      <c r="A110" s="4" t="s">
        <v>170</v>
      </c>
      <c r="B110" s="10" t="s">
        <v>156</v>
      </c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138"/>
      <c r="P110" s="138"/>
      <c r="Q110" s="138"/>
      <c r="R110" s="136"/>
      <c r="S110" s="136"/>
      <c r="T110" s="136"/>
      <c r="U110" s="73"/>
      <c r="V110" s="73"/>
      <c r="W110" s="73"/>
    </row>
    <row r="111" spans="1:23" x14ac:dyDescent="0.25">
      <c r="A111" s="4" t="s">
        <v>171</v>
      </c>
      <c r="B111" s="10" t="s">
        <v>157</v>
      </c>
      <c r="C111" s="74">
        <v>4</v>
      </c>
      <c r="D111" s="74">
        <v>4</v>
      </c>
      <c r="E111" s="74">
        <v>4</v>
      </c>
      <c r="F111" s="141">
        <v>4</v>
      </c>
      <c r="G111" s="141">
        <v>4</v>
      </c>
      <c r="H111" s="141">
        <v>4</v>
      </c>
      <c r="I111" s="151">
        <v>4</v>
      </c>
      <c r="J111" s="151">
        <v>4</v>
      </c>
      <c r="K111" s="151">
        <v>4</v>
      </c>
      <c r="L111" s="153">
        <v>4</v>
      </c>
      <c r="M111" s="153">
        <v>4</v>
      </c>
      <c r="N111" s="153">
        <v>4</v>
      </c>
      <c r="O111" s="137">
        <v>4</v>
      </c>
      <c r="P111" s="137">
        <v>4</v>
      </c>
      <c r="Q111" s="137">
        <v>4</v>
      </c>
      <c r="R111" s="135">
        <v>4</v>
      </c>
      <c r="S111" s="135">
        <v>4</v>
      </c>
      <c r="T111" s="135">
        <v>4</v>
      </c>
      <c r="U111" s="66">
        <v>4</v>
      </c>
      <c r="V111" s="66">
        <v>4</v>
      </c>
      <c r="W111" s="66">
        <v>4</v>
      </c>
    </row>
    <row r="112" spans="1:23" x14ac:dyDescent="0.25">
      <c r="A112" s="4" t="s">
        <v>172</v>
      </c>
      <c r="B112" s="10" t="s">
        <v>158</v>
      </c>
      <c r="C112" s="75"/>
      <c r="D112" s="75">
        <v>4</v>
      </c>
      <c r="E112" s="75">
        <v>4</v>
      </c>
      <c r="F112" s="142">
        <v>4</v>
      </c>
      <c r="G112" s="142">
        <v>4</v>
      </c>
      <c r="H112" s="142">
        <v>4</v>
      </c>
      <c r="I112" s="152">
        <v>4</v>
      </c>
      <c r="J112" s="152">
        <v>4</v>
      </c>
      <c r="K112" s="152">
        <v>4</v>
      </c>
      <c r="L112" s="154">
        <v>4</v>
      </c>
      <c r="M112" s="154">
        <v>4</v>
      </c>
      <c r="N112" s="154">
        <v>4</v>
      </c>
      <c r="O112" s="138">
        <v>4</v>
      </c>
      <c r="P112" s="138">
        <v>4</v>
      </c>
      <c r="Q112" s="138">
        <v>4</v>
      </c>
      <c r="R112" s="136">
        <v>4</v>
      </c>
      <c r="S112" s="136">
        <v>4</v>
      </c>
      <c r="T112" s="136">
        <v>4</v>
      </c>
      <c r="U112" s="67"/>
      <c r="V112" s="67"/>
      <c r="W112" s="67"/>
    </row>
    <row r="113" spans="1:23" s="28" customFormat="1" ht="24" customHeight="1" x14ac:dyDescent="0.25">
      <c r="A113" s="143" t="s">
        <v>160</v>
      </c>
      <c r="B113" s="144"/>
      <c r="C113" s="39">
        <f>C111+C108+C106+C103</f>
        <v>24</v>
      </c>
      <c r="D113" s="39">
        <f t="shared" ref="D113:W113" si="9">D111+D108+D106+D103</f>
        <v>24</v>
      </c>
      <c r="E113" s="39">
        <f t="shared" si="9"/>
        <v>52</v>
      </c>
      <c r="F113" s="40">
        <f t="shared" si="9"/>
        <v>4</v>
      </c>
      <c r="G113" s="40">
        <f t="shared" si="9"/>
        <v>4</v>
      </c>
      <c r="H113" s="40">
        <f t="shared" si="9"/>
        <v>4</v>
      </c>
      <c r="I113" s="41">
        <f t="shared" si="9"/>
        <v>4</v>
      </c>
      <c r="J113" s="41">
        <f t="shared" si="9"/>
        <v>4</v>
      </c>
      <c r="K113" s="41">
        <f t="shared" si="9"/>
        <v>4</v>
      </c>
      <c r="L113" s="42">
        <f t="shared" si="9"/>
        <v>4</v>
      </c>
      <c r="M113" s="42">
        <f t="shared" si="9"/>
        <v>4</v>
      </c>
      <c r="N113" s="42">
        <f t="shared" si="9"/>
        <v>4</v>
      </c>
      <c r="O113" s="43">
        <f t="shared" si="9"/>
        <v>24</v>
      </c>
      <c r="P113" s="43">
        <f t="shared" si="9"/>
        <v>20</v>
      </c>
      <c r="Q113" s="43">
        <f t="shared" si="9"/>
        <v>48</v>
      </c>
      <c r="R113" s="44">
        <f t="shared" si="9"/>
        <v>24</v>
      </c>
      <c r="S113" s="44">
        <f t="shared" si="9"/>
        <v>24</v>
      </c>
      <c r="T113" s="44">
        <f t="shared" si="9"/>
        <v>36</v>
      </c>
      <c r="U113" s="59">
        <f t="shared" si="9"/>
        <v>4</v>
      </c>
      <c r="V113" s="59">
        <f t="shared" si="9"/>
        <v>4</v>
      </c>
      <c r="W113" s="59">
        <f t="shared" si="9"/>
        <v>4</v>
      </c>
    </row>
    <row r="114" spans="1:23" s="28" customFormat="1" ht="24" customHeight="1" x14ac:dyDescent="0.25"/>
    <row r="115" spans="1:23" s="28" customFormat="1" ht="21.75" customHeight="1" x14ac:dyDescent="0.25">
      <c r="A115" s="91" t="s">
        <v>174</v>
      </c>
      <c r="B115" s="92"/>
      <c r="C115" s="92"/>
      <c r="D115" s="92"/>
      <c r="E115" s="93"/>
      <c r="F115" s="49" t="s">
        <v>8</v>
      </c>
      <c r="G115" s="49" t="s">
        <v>9</v>
      </c>
      <c r="H115" s="49" t="s">
        <v>10</v>
      </c>
      <c r="I115" s="50" t="s">
        <v>8</v>
      </c>
      <c r="J115" s="50" t="s">
        <v>9</v>
      </c>
      <c r="K115" s="50" t="s">
        <v>10</v>
      </c>
      <c r="L115" s="51" t="s">
        <v>8</v>
      </c>
      <c r="M115" s="51" t="s">
        <v>9</v>
      </c>
      <c r="N115" s="51" t="s">
        <v>10</v>
      </c>
      <c r="O115" s="52" t="s">
        <v>8</v>
      </c>
      <c r="P115" s="52" t="s">
        <v>9</v>
      </c>
      <c r="Q115" s="52" t="s">
        <v>10</v>
      </c>
      <c r="R115" s="53" t="s">
        <v>8</v>
      </c>
      <c r="S115" s="53" t="s">
        <v>9</v>
      </c>
      <c r="T115" s="53" t="s">
        <v>10</v>
      </c>
      <c r="U115" s="55" t="s">
        <v>8</v>
      </c>
      <c r="V115" s="55" t="s">
        <v>9</v>
      </c>
      <c r="W115" s="55" t="s">
        <v>10</v>
      </c>
    </row>
    <row r="116" spans="1:23" s="28" customFormat="1" ht="24.75" customHeight="1" x14ac:dyDescent="0.25">
      <c r="A116" s="94"/>
      <c r="B116" s="95"/>
      <c r="C116" s="95"/>
      <c r="D116" s="95"/>
      <c r="E116" s="96"/>
      <c r="F116" s="49">
        <f t="shared" ref="F116:W116" si="10">F113+F101+F90+F80+F61+F40+F7</f>
        <v>32</v>
      </c>
      <c r="G116" s="49">
        <f t="shared" si="10"/>
        <v>41</v>
      </c>
      <c r="H116" s="49">
        <f t="shared" si="10"/>
        <v>17</v>
      </c>
      <c r="I116" s="50">
        <f t="shared" si="10"/>
        <v>116</v>
      </c>
      <c r="J116" s="50">
        <f t="shared" si="10"/>
        <v>116</v>
      </c>
      <c r="K116" s="50">
        <f t="shared" si="10"/>
        <v>168</v>
      </c>
      <c r="L116" s="51">
        <f t="shared" si="10"/>
        <v>256</v>
      </c>
      <c r="M116" s="51">
        <f t="shared" si="10"/>
        <v>140</v>
      </c>
      <c r="N116" s="51">
        <f t="shared" si="10"/>
        <v>344</v>
      </c>
      <c r="O116" s="52">
        <f t="shared" si="10"/>
        <v>164</v>
      </c>
      <c r="P116" s="52">
        <f t="shared" si="10"/>
        <v>88</v>
      </c>
      <c r="Q116" s="52">
        <f t="shared" si="10"/>
        <v>128</v>
      </c>
      <c r="R116" s="53">
        <f t="shared" si="10"/>
        <v>176</v>
      </c>
      <c r="S116" s="53">
        <f t="shared" si="10"/>
        <v>84</v>
      </c>
      <c r="T116" s="53">
        <f t="shared" si="10"/>
        <v>240</v>
      </c>
      <c r="U116" s="55">
        <f t="shared" si="10"/>
        <v>64</v>
      </c>
      <c r="V116" s="55">
        <f t="shared" si="10"/>
        <v>16</v>
      </c>
      <c r="W116" s="55">
        <f t="shared" si="10"/>
        <v>20</v>
      </c>
    </row>
    <row r="117" spans="1:23" s="28" customFormat="1" ht="32.25" customHeight="1" x14ac:dyDescent="0.25">
      <c r="A117" s="97" t="s">
        <v>175</v>
      </c>
      <c r="B117" s="98"/>
      <c r="C117" s="98"/>
      <c r="D117" s="98"/>
      <c r="E117" s="99"/>
      <c r="F117" s="100">
        <f>F116+G116+H116</f>
        <v>90</v>
      </c>
      <c r="G117" s="100"/>
      <c r="H117" s="61">
        <f>F117/8</f>
        <v>11.25</v>
      </c>
      <c r="I117" s="101">
        <f>I116+J116+K116</f>
        <v>400</v>
      </c>
      <c r="J117" s="101"/>
      <c r="K117" s="62">
        <f>I117/8</f>
        <v>50</v>
      </c>
      <c r="L117" s="77">
        <f>L116+M116+N116</f>
        <v>740</v>
      </c>
      <c r="M117" s="77"/>
      <c r="N117" s="31">
        <f>L117/8</f>
        <v>92.5</v>
      </c>
      <c r="O117" s="78">
        <f>O116+P116+Q116</f>
        <v>380</v>
      </c>
      <c r="P117" s="78"/>
      <c r="Q117" s="32">
        <f>O117/8</f>
        <v>47.5</v>
      </c>
      <c r="R117" s="79">
        <f>R116+S116+T116</f>
        <v>500</v>
      </c>
      <c r="S117" s="79"/>
      <c r="T117" s="54">
        <f>R117/8</f>
        <v>62.5</v>
      </c>
      <c r="U117" s="80">
        <f>U116+V116+W116</f>
        <v>100</v>
      </c>
      <c r="V117" s="80"/>
      <c r="W117" s="48">
        <f>U117/8</f>
        <v>12.5</v>
      </c>
    </row>
  </sheetData>
  <mergeCells count="490">
    <mergeCell ref="U117:V117"/>
    <mergeCell ref="V111:V112"/>
    <mergeCell ref="W111:W112"/>
    <mergeCell ref="A113:B113"/>
    <mergeCell ref="A115:E116"/>
    <mergeCell ref="A117:E117"/>
    <mergeCell ref="F117:G117"/>
    <mergeCell ref="I117:J117"/>
    <mergeCell ref="L117:M117"/>
    <mergeCell ref="O117:P117"/>
    <mergeCell ref="R117:S117"/>
    <mergeCell ref="P111:P112"/>
    <mergeCell ref="Q111:Q112"/>
    <mergeCell ref="R111:R112"/>
    <mergeCell ref="S111:S112"/>
    <mergeCell ref="T111:T112"/>
    <mergeCell ref="U111:U112"/>
    <mergeCell ref="J111:J112"/>
    <mergeCell ref="K111:K112"/>
    <mergeCell ref="L111:L112"/>
    <mergeCell ref="M111:M112"/>
    <mergeCell ref="N111:N112"/>
    <mergeCell ref="O111:O112"/>
    <mergeCell ref="W108:W110"/>
    <mergeCell ref="C111:C112"/>
    <mergeCell ref="D111:D112"/>
    <mergeCell ref="E111:E112"/>
    <mergeCell ref="F111:F112"/>
    <mergeCell ref="G111:G112"/>
    <mergeCell ref="H111:H112"/>
    <mergeCell ref="I111:I112"/>
    <mergeCell ref="O108:O110"/>
    <mergeCell ref="P108:P110"/>
    <mergeCell ref="Q108:Q110"/>
    <mergeCell ref="R108:R110"/>
    <mergeCell ref="S108:S110"/>
    <mergeCell ref="T108:T110"/>
    <mergeCell ref="I108:I110"/>
    <mergeCell ref="J108:J110"/>
    <mergeCell ref="K108:K110"/>
    <mergeCell ref="L108:L110"/>
    <mergeCell ref="M108:M110"/>
    <mergeCell ref="N108:N110"/>
    <mergeCell ref="C108:C110"/>
    <mergeCell ref="D108:D110"/>
    <mergeCell ref="E108:E110"/>
    <mergeCell ref="F108:F110"/>
    <mergeCell ref="G108:G110"/>
    <mergeCell ref="H108:H110"/>
    <mergeCell ref="R106:R107"/>
    <mergeCell ref="S106:S107"/>
    <mergeCell ref="T106:T107"/>
    <mergeCell ref="U106:U107"/>
    <mergeCell ref="V106:V107"/>
    <mergeCell ref="U108:U110"/>
    <mergeCell ref="V108:V110"/>
    <mergeCell ref="W106:W107"/>
    <mergeCell ref="L106:L107"/>
    <mergeCell ref="M106:M107"/>
    <mergeCell ref="N106:N107"/>
    <mergeCell ref="O106:O107"/>
    <mergeCell ref="P106:P107"/>
    <mergeCell ref="Q106:Q107"/>
    <mergeCell ref="W103:W105"/>
    <mergeCell ref="C106:C107"/>
    <mergeCell ref="D106:D107"/>
    <mergeCell ref="E106:E107"/>
    <mergeCell ref="F106:F107"/>
    <mergeCell ref="G106:G107"/>
    <mergeCell ref="H106:H107"/>
    <mergeCell ref="I106:I107"/>
    <mergeCell ref="J106:J107"/>
    <mergeCell ref="K106:K107"/>
    <mergeCell ref="Q103:Q105"/>
    <mergeCell ref="R103:R105"/>
    <mergeCell ref="S103:S105"/>
    <mergeCell ref="T103:T105"/>
    <mergeCell ref="U103:U105"/>
    <mergeCell ref="V103:V105"/>
    <mergeCell ref="K103:K105"/>
    <mergeCell ref="L103:L105"/>
    <mergeCell ref="M103:M105"/>
    <mergeCell ref="N103:N105"/>
    <mergeCell ref="O103:O105"/>
    <mergeCell ref="P103:P105"/>
    <mergeCell ref="A101:B101"/>
    <mergeCell ref="B102:T102"/>
    <mergeCell ref="C103:C105"/>
    <mergeCell ref="D103:D105"/>
    <mergeCell ref="E103:E105"/>
    <mergeCell ref="F103:F105"/>
    <mergeCell ref="G103:G105"/>
    <mergeCell ref="H103:H105"/>
    <mergeCell ref="I103:I105"/>
    <mergeCell ref="J103:J105"/>
    <mergeCell ref="W98:W99"/>
    <mergeCell ref="Q98:Q99"/>
    <mergeCell ref="R98:R99"/>
    <mergeCell ref="S98:S99"/>
    <mergeCell ref="T98:T99"/>
    <mergeCell ref="U98:U99"/>
    <mergeCell ref="V98:V99"/>
    <mergeCell ref="K98:K99"/>
    <mergeCell ref="L98:L99"/>
    <mergeCell ref="M98:M99"/>
    <mergeCell ref="N98:N99"/>
    <mergeCell ref="O98:O99"/>
    <mergeCell ref="P98:P99"/>
    <mergeCell ref="Q96:Q97"/>
    <mergeCell ref="R96:R97"/>
    <mergeCell ref="S96:S97"/>
    <mergeCell ref="T96:T97"/>
    <mergeCell ref="U96:U97"/>
    <mergeCell ref="J96:J97"/>
    <mergeCell ref="K96:K97"/>
    <mergeCell ref="L96:L97"/>
    <mergeCell ref="M96:M97"/>
    <mergeCell ref="N96:N97"/>
    <mergeCell ref="O96:O97"/>
    <mergeCell ref="C98:C99"/>
    <mergeCell ref="D98:D99"/>
    <mergeCell ref="E98:E99"/>
    <mergeCell ref="F98:F99"/>
    <mergeCell ref="G98:G99"/>
    <mergeCell ref="H98:H99"/>
    <mergeCell ref="I98:I99"/>
    <mergeCell ref="J98:J99"/>
    <mergeCell ref="P96:P97"/>
    <mergeCell ref="W93:W95"/>
    <mergeCell ref="C96:C97"/>
    <mergeCell ref="D96:D97"/>
    <mergeCell ref="E96:E97"/>
    <mergeCell ref="F96:F97"/>
    <mergeCell ref="G96:G97"/>
    <mergeCell ref="H96:H97"/>
    <mergeCell ref="I96:I97"/>
    <mergeCell ref="O93:O95"/>
    <mergeCell ref="P93:P95"/>
    <mergeCell ref="Q93:Q95"/>
    <mergeCell ref="R93:R95"/>
    <mergeCell ref="S93:S95"/>
    <mergeCell ref="T93:T95"/>
    <mergeCell ref="I93:I95"/>
    <mergeCell ref="J93:J95"/>
    <mergeCell ref="K93:K95"/>
    <mergeCell ref="L93:L95"/>
    <mergeCell ref="M93:M95"/>
    <mergeCell ref="N93:N95"/>
    <mergeCell ref="C93:C95"/>
    <mergeCell ref="D93:D95"/>
    <mergeCell ref="V96:V97"/>
    <mergeCell ref="W96:W97"/>
    <mergeCell ref="E93:E95"/>
    <mergeCell ref="F93:F95"/>
    <mergeCell ref="G93:G95"/>
    <mergeCell ref="H93:H95"/>
    <mergeCell ref="U86:U88"/>
    <mergeCell ref="V86:V88"/>
    <mergeCell ref="W86:W88"/>
    <mergeCell ref="A90:B90"/>
    <mergeCell ref="B91:T91"/>
    <mergeCell ref="B92:T92"/>
    <mergeCell ref="O86:O88"/>
    <mergeCell ref="P86:P88"/>
    <mergeCell ref="Q86:Q88"/>
    <mergeCell ref="R86:R88"/>
    <mergeCell ref="S86:S88"/>
    <mergeCell ref="T86:T88"/>
    <mergeCell ref="I86:I88"/>
    <mergeCell ref="J86:J88"/>
    <mergeCell ref="K86:K88"/>
    <mergeCell ref="L86:L88"/>
    <mergeCell ref="M86:M88"/>
    <mergeCell ref="N86:N88"/>
    <mergeCell ref="U93:U95"/>
    <mergeCell ref="V93:V95"/>
    <mergeCell ref="V82:V84"/>
    <mergeCell ref="W82:W84"/>
    <mergeCell ref="C86:C88"/>
    <mergeCell ref="D86:D88"/>
    <mergeCell ref="E86:E88"/>
    <mergeCell ref="F86:F88"/>
    <mergeCell ref="G86:G88"/>
    <mergeCell ref="H86:H88"/>
    <mergeCell ref="N82:N84"/>
    <mergeCell ref="O82:O84"/>
    <mergeCell ref="P82:P84"/>
    <mergeCell ref="Q82:Q84"/>
    <mergeCell ref="R82:R84"/>
    <mergeCell ref="S82:S84"/>
    <mergeCell ref="H82:H84"/>
    <mergeCell ref="I82:I84"/>
    <mergeCell ref="J82:J84"/>
    <mergeCell ref="K82:K84"/>
    <mergeCell ref="L82:L84"/>
    <mergeCell ref="M82:M84"/>
    <mergeCell ref="W77:W78"/>
    <mergeCell ref="A80:B80"/>
    <mergeCell ref="B81:T81"/>
    <mergeCell ref="C82:C84"/>
    <mergeCell ref="D82:D84"/>
    <mergeCell ref="E82:E84"/>
    <mergeCell ref="F82:F84"/>
    <mergeCell ref="G82:G84"/>
    <mergeCell ref="O77:O78"/>
    <mergeCell ref="P77:P78"/>
    <mergeCell ref="Q77:Q78"/>
    <mergeCell ref="R77:R78"/>
    <mergeCell ref="S77:S78"/>
    <mergeCell ref="T77:T78"/>
    <mergeCell ref="I77:I78"/>
    <mergeCell ref="J77:J78"/>
    <mergeCell ref="K77:K78"/>
    <mergeCell ref="L77:L78"/>
    <mergeCell ref="M77:M78"/>
    <mergeCell ref="N77:N78"/>
    <mergeCell ref="C77:C78"/>
    <mergeCell ref="D77:D78"/>
    <mergeCell ref="T82:T84"/>
    <mergeCell ref="U82:U84"/>
    <mergeCell ref="E77:E78"/>
    <mergeCell ref="F77:F78"/>
    <mergeCell ref="G77:G78"/>
    <mergeCell ref="H77:H78"/>
    <mergeCell ref="R75:R76"/>
    <mergeCell ref="S75:S76"/>
    <mergeCell ref="T75:T76"/>
    <mergeCell ref="U75:U76"/>
    <mergeCell ref="V75:V76"/>
    <mergeCell ref="U77:U78"/>
    <mergeCell ref="V77:V78"/>
    <mergeCell ref="W75:W76"/>
    <mergeCell ref="L75:L76"/>
    <mergeCell ref="M75:M76"/>
    <mergeCell ref="N75:N76"/>
    <mergeCell ref="O75:O76"/>
    <mergeCell ref="P75:P76"/>
    <mergeCell ref="Q75:Q76"/>
    <mergeCell ref="W72:W74"/>
    <mergeCell ref="C75:C76"/>
    <mergeCell ref="D75:D76"/>
    <mergeCell ref="E75:E76"/>
    <mergeCell ref="F75:F76"/>
    <mergeCell ref="G75:G76"/>
    <mergeCell ref="H75:H76"/>
    <mergeCell ref="I75:I76"/>
    <mergeCell ref="J75:J76"/>
    <mergeCell ref="K75:K76"/>
    <mergeCell ref="Q72:Q74"/>
    <mergeCell ref="R72:R74"/>
    <mergeCell ref="S72:S74"/>
    <mergeCell ref="T72:T74"/>
    <mergeCell ref="U72:U74"/>
    <mergeCell ref="V72:V74"/>
    <mergeCell ref="K72:K74"/>
    <mergeCell ref="L72:L74"/>
    <mergeCell ref="M72:M74"/>
    <mergeCell ref="N72:N74"/>
    <mergeCell ref="O72:O74"/>
    <mergeCell ref="P72:P74"/>
    <mergeCell ref="V70:V71"/>
    <mergeCell ref="W70:W71"/>
    <mergeCell ref="C72:C74"/>
    <mergeCell ref="D72:D74"/>
    <mergeCell ref="E72:E74"/>
    <mergeCell ref="F72:F74"/>
    <mergeCell ref="G72:G74"/>
    <mergeCell ref="H72:H74"/>
    <mergeCell ref="I72:I74"/>
    <mergeCell ref="J72:J74"/>
    <mergeCell ref="P70:P71"/>
    <mergeCell ref="Q70:Q71"/>
    <mergeCell ref="R70:R71"/>
    <mergeCell ref="S70:S71"/>
    <mergeCell ref="T70:T71"/>
    <mergeCell ref="U70:U71"/>
    <mergeCell ref="J70:J71"/>
    <mergeCell ref="K70:K71"/>
    <mergeCell ref="L70:L71"/>
    <mergeCell ref="M70:M71"/>
    <mergeCell ref="N70:N71"/>
    <mergeCell ref="O70:O71"/>
    <mergeCell ref="U67:U69"/>
    <mergeCell ref="V67:V69"/>
    <mergeCell ref="W67:W69"/>
    <mergeCell ref="C70:C71"/>
    <mergeCell ref="D70:D71"/>
    <mergeCell ref="E70:E71"/>
    <mergeCell ref="F70:F71"/>
    <mergeCell ref="G70:G71"/>
    <mergeCell ref="H70:H71"/>
    <mergeCell ref="I70:I71"/>
    <mergeCell ref="O67:O69"/>
    <mergeCell ref="P67:P69"/>
    <mergeCell ref="Q67:Q69"/>
    <mergeCell ref="R67:R69"/>
    <mergeCell ref="S67:S69"/>
    <mergeCell ref="T67:T69"/>
    <mergeCell ref="I67:I69"/>
    <mergeCell ref="J67:J69"/>
    <mergeCell ref="K67:K69"/>
    <mergeCell ref="L67:L69"/>
    <mergeCell ref="M67:M69"/>
    <mergeCell ref="N67:N69"/>
    <mergeCell ref="T64:T66"/>
    <mergeCell ref="U64:U66"/>
    <mergeCell ref="V64:V66"/>
    <mergeCell ref="W64:W66"/>
    <mergeCell ref="C67:C69"/>
    <mergeCell ref="D67:D69"/>
    <mergeCell ref="E67:E69"/>
    <mergeCell ref="F67:F69"/>
    <mergeCell ref="G67:G69"/>
    <mergeCell ref="H67:H69"/>
    <mergeCell ref="N64:N66"/>
    <mergeCell ref="O64:O66"/>
    <mergeCell ref="P64:P66"/>
    <mergeCell ref="Q64:Q66"/>
    <mergeCell ref="R64:R66"/>
    <mergeCell ref="S64:S66"/>
    <mergeCell ref="H64:H66"/>
    <mergeCell ref="I64:I66"/>
    <mergeCell ref="J64:J66"/>
    <mergeCell ref="K64:K66"/>
    <mergeCell ref="L64:L66"/>
    <mergeCell ref="M64:M66"/>
    <mergeCell ref="A40:B40"/>
    <mergeCell ref="B41:T41"/>
    <mergeCell ref="A61:B61"/>
    <mergeCell ref="B62:T62"/>
    <mergeCell ref="B63:T63"/>
    <mergeCell ref="C64:C66"/>
    <mergeCell ref="D64:D66"/>
    <mergeCell ref="E64:E66"/>
    <mergeCell ref="F64:F66"/>
    <mergeCell ref="G64:G66"/>
    <mergeCell ref="I32:I35"/>
    <mergeCell ref="J32:J35"/>
    <mergeCell ref="K32:K35"/>
    <mergeCell ref="L32:L35"/>
    <mergeCell ref="M32:M35"/>
    <mergeCell ref="N32:N35"/>
    <mergeCell ref="C36:C39"/>
    <mergeCell ref="D36:D39"/>
    <mergeCell ref="E36:E39"/>
    <mergeCell ref="F36:F39"/>
    <mergeCell ref="G36:G39"/>
    <mergeCell ref="H36:H39"/>
    <mergeCell ref="C32:C35"/>
    <mergeCell ref="D32:D35"/>
    <mergeCell ref="E32:E35"/>
    <mergeCell ref="F32:F35"/>
    <mergeCell ref="G32:G35"/>
    <mergeCell ref="H32:H35"/>
    <mergeCell ref="I36:I39"/>
    <mergeCell ref="J36:J39"/>
    <mergeCell ref="K36:K39"/>
    <mergeCell ref="L36:L39"/>
    <mergeCell ref="M36:M39"/>
    <mergeCell ref="N36:N39"/>
    <mergeCell ref="U29:U39"/>
    <mergeCell ref="V29:V39"/>
    <mergeCell ref="W29:W39"/>
    <mergeCell ref="L29:L31"/>
    <mergeCell ref="M29:M31"/>
    <mergeCell ref="N29:N31"/>
    <mergeCell ref="O29:O31"/>
    <mergeCell ref="P29:P31"/>
    <mergeCell ref="Q29:Q31"/>
    <mergeCell ref="R32:R35"/>
    <mergeCell ref="S32:S35"/>
    <mergeCell ref="T32:T35"/>
    <mergeCell ref="O32:O35"/>
    <mergeCell ref="P32:P35"/>
    <mergeCell ref="Q32:Q35"/>
    <mergeCell ref="O36:O39"/>
    <mergeCell ref="P36:P39"/>
    <mergeCell ref="Q36:Q39"/>
    <mergeCell ref="R36:R39"/>
    <mergeCell ref="S36:S39"/>
    <mergeCell ref="T36:T39"/>
    <mergeCell ref="B28:T28"/>
    <mergeCell ref="C29:C31"/>
    <mergeCell ref="D29:D31"/>
    <mergeCell ref="E29:E31"/>
    <mergeCell ref="F29:F31"/>
    <mergeCell ref="G29:G31"/>
    <mergeCell ref="H29:H31"/>
    <mergeCell ref="I29:I31"/>
    <mergeCell ref="J29:J31"/>
    <mergeCell ref="K29:K31"/>
    <mergeCell ref="R29:R31"/>
    <mergeCell ref="S29:S31"/>
    <mergeCell ref="T29:T31"/>
    <mergeCell ref="U22:U27"/>
    <mergeCell ref="V22:V27"/>
    <mergeCell ref="W22:W27"/>
    <mergeCell ref="L22:L27"/>
    <mergeCell ref="M22:M27"/>
    <mergeCell ref="N22:N27"/>
    <mergeCell ref="O22:O27"/>
    <mergeCell ref="P22:P27"/>
    <mergeCell ref="Q22:Q27"/>
    <mergeCell ref="B21:T21"/>
    <mergeCell ref="C22:C27"/>
    <mergeCell ref="D22:D27"/>
    <mergeCell ref="E22:E27"/>
    <mergeCell ref="F22:F27"/>
    <mergeCell ref="G22:G27"/>
    <mergeCell ref="H22:H27"/>
    <mergeCell ref="I22:I27"/>
    <mergeCell ref="J22:J27"/>
    <mergeCell ref="K22:K27"/>
    <mergeCell ref="R22:R27"/>
    <mergeCell ref="S22:S27"/>
    <mergeCell ref="T22:T27"/>
    <mergeCell ref="R15:R20"/>
    <mergeCell ref="S15:S20"/>
    <mergeCell ref="T15:T20"/>
    <mergeCell ref="U15:U20"/>
    <mergeCell ref="V15:V20"/>
    <mergeCell ref="W15:W20"/>
    <mergeCell ref="L15:L20"/>
    <mergeCell ref="M15:M20"/>
    <mergeCell ref="N15:N20"/>
    <mergeCell ref="O15:O20"/>
    <mergeCell ref="P15:P20"/>
    <mergeCell ref="Q15:Q20"/>
    <mergeCell ref="R12:R14"/>
    <mergeCell ref="S12:S14"/>
    <mergeCell ref="T12:T14"/>
    <mergeCell ref="U12:U14"/>
    <mergeCell ref="V12:V14"/>
    <mergeCell ref="K12:K14"/>
    <mergeCell ref="L12:L14"/>
    <mergeCell ref="M12:M14"/>
    <mergeCell ref="N12:N14"/>
    <mergeCell ref="O12:O14"/>
    <mergeCell ref="P12:P14"/>
    <mergeCell ref="C15:C20"/>
    <mergeCell ref="D15:D20"/>
    <mergeCell ref="E15:E20"/>
    <mergeCell ref="F15:F20"/>
    <mergeCell ref="G15:G20"/>
    <mergeCell ref="H15:H20"/>
    <mergeCell ref="I15:I20"/>
    <mergeCell ref="J15:J20"/>
    <mergeCell ref="K15:K20"/>
    <mergeCell ref="V9:V11"/>
    <mergeCell ref="W9:W11"/>
    <mergeCell ref="C12:C14"/>
    <mergeCell ref="D12:D14"/>
    <mergeCell ref="E12:E14"/>
    <mergeCell ref="F12:F14"/>
    <mergeCell ref="G12:G14"/>
    <mergeCell ref="H12:H14"/>
    <mergeCell ref="I12:I14"/>
    <mergeCell ref="J12:J14"/>
    <mergeCell ref="P9:P11"/>
    <mergeCell ref="Q9:Q11"/>
    <mergeCell ref="R9:R11"/>
    <mergeCell ref="S9:S11"/>
    <mergeCell ref="T9:T11"/>
    <mergeCell ref="U9:U11"/>
    <mergeCell ref="J9:J11"/>
    <mergeCell ref="K9:K11"/>
    <mergeCell ref="L9:L11"/>
    <mergeCell ref="M9:M11"/>
    <mergeCell ref="N9:N11"/>
    <mergeCell ref="O9:O11"/>
    <mergeCell ref="W12:W14"/>
    <mergeCell ref="Q12:Q14"/>
    <mergeCell ref="A7:B7"/>
    <mergeCell ref="B8:T8"/>
    <mergeCell ref="C9:C11"/>
    <mergeCell ref="D9:D11"/>
    <mergeCell ref="E9:E11"/>
    <mergeCell ref="F9:F11"/>
    <mergeCell ref="G9:G11"/>
    <mergeCell ref="H9:H11"/>
    <mergeCell ref="I9:I11"/>
    <mergeCell ref="A1:X1"/>
    <mergeCell ref="C2:E2"/>
    <mergeCell ref="F2:H2"/>
    <mergeCell ref="I2:K2"/>
    <mergeCell ref="L2:N2"/>
    <mergeCell ref="O2:Q2"/>
    <mergeCell ref="R2:T2"/>
    <mergeCell ref="U2:W2"/>
    <mergeCell ref="B3:E3"/>
  </mergeCells>
  <pageMargins left="0.7" right="0.7" top="0.75" bottom="0.75" header="0.3" footer="0.3"/>
  <pageSetup scale="75" orientation="landscape" horizontalDpi="4294967293" r:id="rId1"/>
  <rowBreaks count="2" manualBreakCount="2">
    <brk id="40" max="16383" man="1"/>
    <brk id="8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nleta1</dc:creator>
  <cp:lastModifiedBy>scs</cp:lastModifiedBy>
  <cp:lastPrinted>2025-11-18T04:51:31Z</cp:lastPrinted>
  <dcterms:created xsi:type="dcterms:W3CDTF">2015-06-05T18:17:20Z</dcterms:created>
  <dcterms:modified xsi:type="dcterms:W3CDTF">2025-11-18T04:52:39Z</dcterms:modified>
</cp:coreProperties>
</file>